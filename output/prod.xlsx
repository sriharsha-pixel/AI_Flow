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ank" sheetId="2" r:id="rId2"/>
    <sheet name="RFMS" sheetId="3" r:id="rId3"/>
    <sheet name="Billing" sheetId="4" r:id="rId4"/>
    <sheet name="Matched" sheetId="5" r:id="rId5"/>
    <sheet name="Unmatched Billing" sheetId="6" r:id="rId6"/>
    <sheet name="Unmatched Bank" sheetId="7" r:id="rId7"/>
    <sheet name="NSF" sheetId="8" r:id="rId8"/>
    <sheet name="Reversals" sheetId="9" r:id="rId9"/>
    <sheet name="Transfers" sheetId="10" r:id="rId10"/>
    <sheet name="NDC Sweep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30.83203125" customWidth="1"/>
    <col min="2" max="2" width="15.83203125" customWidth="1"/>
  </cols>
  <sheetData>
    <row r="1">
      <c r="A1" t="str">
        <v>CASH RECONCILIATION SUMMARY</v>
      </c>
    </row>
    <row r="3">
      <c r="A3" t="str">
        <v>Total Billing System Transactions:</v>
      </c>
      <c r="B3" s="1">
        <f>SUM(Billing!B:B)</f>
      </c>
    </row>
    <row r="5">
      <c r="A5" t="str">
        <v>BANK DEPOSITS BY ACCOUNT</v>
      </c>
    </row>
    <row r="7">
      <c r="A7" t="str">
        <v>GOVERNMENT RECEIVABLES XXXXXXXX3831</v>
      </c>
      <c r="B7" s="1">
        <f>SUMIFS(Bank!C:C,Bank!A:A,"GOVERNMENT RECEIVABLES XXXXXXXX3831")+SUMIFS(RFMS!C:C,RFMS!A:A,"GOVERNMENT RECEIVABLES XXXXXXXX3831")</f>
      </c>
    </row>
    <row r="8">
      <c r="A8" t="str">
        <v>MONOGRAM CHECKING 1503764063</v>
      </c>
      <c r="B8" s="1">
        <f>SUMIFS(Bank!C:C,Bank!A:A,"MONOGRAM CHECKING 1503764063")+SUMIFS(RFMS!C:C,RFMS!A:A,"MONOGRAM CHECKING 1503764063")</f>
      </c>
    </row>
    <row r="9">
      <c r="A9" t="str">
        <v>MONOGRAM CHECKING 1504225212</v>
      </c>
      <c r="B9" s="1">
        <f>SUMIFS(Bank!C:C,Bank!A:A,"MONOGRAM CHECKING 1504225212")+SUMIFS(RFMS!C:C,RFMS!A:A,"MONOGRAM CHECKING 1504225212")</f>
      </c>
    </row>
    <row r="10">
      <c r="A10" t="str">
        <v>NON-GOVERNMENT RECEIVABLE XXXXXXXX3858</v>
      </c>
      <c r="B10" s="1">
        <f>SUMIFS(Bank!C:C,Bank!A:A,"NON-GOVERNMENT RECEIVABLE XXXXXXXX3858")+SUMIFS(RFMS!C:C,RFMS!A:A,"NON-GOVERNMENT RECEIVABLE XXXXXXXX3858")</f>
      </c>
    </row>
    <row r="11">
      <c r="A11" t="str">
        <v>RFMS Account # ****6932</v>
      </c>
      <c r="B11" s="1">
        <f>SUMIFS(Bank!C:C,Bank!A:A,"RFMS Account # ****6932")+SUMIFS(RFMS!C:C,RFMS!A:A,"RFMS Account # ****6932")</f>
      </c>
    </row>
    <row r="12">
      <c r="A12" t="str">
        <v>Total Bank Deposits:</v>
      </c>
      <c r="B12" s="1">
        <f>SUM(B7:B11)</f>
      </c>
    </row>
    <row r="15">
      <c r="A15" t="str">
        <v>DEDUCTIONS</v>
      </c>
    </row>
    <row r="17">
      <c r="A17" t="str">
        <v>Transfers</v>
      </c>
      <c r="B17" s="1">
        <f>SUM(Transfers!C:C)</f>
      </c>
    </row>
    <row r="18">
      <c r="A18" t="str">
        <v>NDC Sweeps</v>
      </c>
      <c r="B18" s="1">
        <f>SUM('NDC Sweeps'!C:C)</f>
      </c>
    </row>
    <row r="19">
      <c r="A19" t="str">
        <v>Bank Exceptions</v>
      </c>
      <c r="B19" s="1">
        <f>SUMIF('Unmatched Bank'!A:A,"Exception",'Unmatched Bank'!D:D)</f>
      </c>
    </row>
    <row r="22">
      <c r="A22" t="str">
        <v>BILLING SYSTEM ADJUSTMENTS</v>
      </c>
    </row>
    <row r="24">
      <c r="A24" t="str">
        <v>NSF Transactions</v>
      </c>
      <c r="B24" s="1">
        <f>SUM(NSF!B:B)</f>
      </c>
    </row>
    <row r="25">
      <c r="A25" t="str">
        <v>Billing System Exceptions</v>
      </c>
      <c r="B25" s="1">
        <f>SUMIF('Unmatched Billing'!A:A,"Exception",'Unmatched Billing'!C:C)</f>
      </c>
    </row>
    <row r="26">
      <c r="A26" t="str">
        <v>Unmatched Billing System Transactions</v>
      </c>
      <c r="B26" s="1">
        <f>SUMIF('Unmatched Billing'!A:A,"Unmatched",'Unmatched Billing'!C:C)</f>
      </c>
    </row>
    <row r="29">
      <c r="A29" t="str">
        <v>RECONCILIATION TOTALS</v>
      </c>
    </row>
    <row r="31">
      <c r="A31" t="str">
        <v>Total Deposits</v>
      </c>
      <c r="B31" s="1">
        <f>B12-SUMIF(Transfers!B:B,"&lt;&gt;Billing System",Transfers!C:C)-SUM('NDC Sweeps'!C:C)-SUMIF('Unmatched Bank'!A:A,"Exception",'Unmatched Bank'!D:D)</f>
      </c>
    </row>
    <row r="32">
      <c r="A32" t="str">
        <v>Total Cash Receipts</v>
      </c>
      <c r="B32" s="1">
        <f>SUM(Billing!B:B)-SUM(NSF!B:B)-SUMIF('Unmatched Billing'!A:A,"Exception",'Unmatched Billing'!C:C)-SUMIF(Transfers!B:B,"Billing System",Transfers!C:C)</f>
      </c>
    </row>
    <row r="33">
      <c r="A33" t="str">
        <v>Difference</v>
      </c>
      <c r="B33" s="1">
        <f>B31-B32</f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Bank Account</v>
      </c>
      <c r="B1" t="str">
        <v>Date</v>
      </c>
      <c r="C1" t="str">
        <v>Amount</v>
      </c>
      <c r="D1" t="str">
        <v>Description</v>
      </c>
      <c r="E1" t="str">
        <v>Type</v>
      </c>
    </row>
    <row r="2">
      <c r="A2" t="str">
        <v>MONOGRAM CHECKING 1503764063</v>
      </c>
      <c r="B2" t="str">
        <v>07/21/2025</v>
      </c>
      <c r="C2" s="1">
        <v>40.52</v>
      </c>
      <c r="D2" t="str">
        <v>ACH DEPOSIT HUMANA INC US LE HCCLAIMPMT COASTAL CENTER OPERATI</v>
      </c>
      <c r="E2" t="str">
        <v/>
      </c>
    </row>
    <row r="3">
      <c r="A3" t="str">
        <v>MONOGRAM CHECKING 1503764063</v>
      </c>
      <c r="B3" t="str">
        <v>07/08/2025</v>
      </c>
      <c r="C3" s="1">
        <v>10800</v>
      </c>
      <c r="D3" t="str">
        <v>ACH DEPOSIT HUMANA INC US LE HCCLAIMPMT COASTAL CENTER OPERATI</v>
      </c>
      <c r="E3" t="str">
        <v/>
      </c>
    </row>
    <row r="4">
      <c r="A4" t="str">
        <v>MONOGRAM CHECKING 1503764063</v>
      </c>
      <c r="B4" t="str">
        <v>07/07/2025</v>
      </c>
      <c r="C4" s="1">
        <v>900</v>
      </c>
      <c r="D4" t="str">
        <v>ACH DEPOSIT HUMANA INC US LE HCCLAIMPMT COASTAL CENTER OPERATI</v>
      </c>
      <c r="E4" t="str">
        <v/>
      </c>
    </row>
    <row r="5">
      <c r="A5" t="str">
        <v>GOVERNMENT RECEIVABLES XXXXXXXX3831</v>
      </c>
      <c r="B5" t="str">
        <v>07/30/2025</v>
      </c>
      <c r="C5" s="1">
        <v>9954.3</v>
      </c>
      <c r="D5" t="str">
        <v>FIRST COAST SERV HCCLAIMPMT 250730 CCD 105565</v>
      </c>
      <c r="E5" t="str">
        <v/>
      </c>
    </row>
    <row r="6">
      <c r="A6" t="str">
        <v>GOVERNMENT RECEIVABLES XXXXXXXX3831</v>
      </c>
      <c r="B6" t="str">
        <v>07/24/2025</v>
      </c>
      <c r="C6" s="1">
        <v>117.22</v>
      </c>
      <c r="D6" t="str">
        <v>FIRST COAST SERV HCCLAIMPMT 250724 CCD 105565</v>
      </c>
      <c r="E6" t="str">
        <v/>
      </c>
    </row>
    <row r="7">
      <c r="A7" t="str">
        <v>GOVERNMENT RECEIVABLES XXXXXXXX3831</v>
      </c>
      <c r="B7" t="str">
        <v>07/23/2025</v>
      </c>
      <c r="C7" s="1">
        <v>209876.71</v>
      </c>
      <c r="D7" t="str">
        <v>FIRST COAST SERV HCCLAIMPMT 250723 CCD 105565</v>
      </c>
      <c r="E7" t="str">
        <v/>
      </c>
    </row>
    <row r="8">
      <c r="A8" t="str">
        <v>GOVERNMENT RECEIVABLES XXXXXXXX3831</v>
      </c>
      <c r="B8" t="str">
        <v>07/17/2025</v>
      </c>
      <c r="C8" s="1">
        <v>31207.22</v>
      </c>
      <c r="D8" t="str">
        <v>ACH MEDICAID HCCLAIMPMT 250715 CCD</v>
      </c>
      <c r="E8" t="str">
        <v/>
      </c>
    </row>
    <row r="9">
      <c r="A9" t="str">
        <v>GOVERNMENT RECEIVABLES XXXXXXXX3831</v>
      </c>
      <c r="B9" t="str">
        <v>07/16/2025</v>
      </c>
      <c r="C9" s="1">
        <v>9001</v>
      </c>
      <c r="D9" t="str">
        <v>FIRST COAST SERV HCCLAIMPMT 250716 CCD 105565</v>
      </c>
      <c r="E9" t="str">
        <v/>
      </c>
    </row>
    <row r="10">
      <c r="A10" t="str">
        <v>GOVERNMENT RECEIVABLES XXXXXXXX3831</v>
      </c>
      <c r="B10" t="str">
        <v>07/15/2025</v>
      </c>
      <c r="C10" s="1">
        <v>12163.67</v>
      </c>
      <c r="D10" t="str">
        <v>FIRST COAST SERV HCCLAIMPMT 250715 CCD 105565</v>
      </c>
      <c r="E10" t="str">
        <v/>
      </c>
    </row>
    <row r="11">
      <c r="A11" t="str">
        <v>GOVERNMENT RECEIVABLES XXXXXXXX3831</v>
      </c>
      <c r="B11" t="str">
        <v>07/14/2025</v>
      </c>
      <c r="C11" s="1">
        <v>594.72</v>
      </c>
      <c r="D11" t="str">
        <v>FIRST COAST SERV HCCLAIMPMT 250714 CCD 105565</v>
      </c>
      <c r="E11" t="str">
        <v/>
      </c>
    </row>
    <row r="12">
      <c r="A12" t="str">
        <v>GOVERNMENT RECEIVABLES XXXXXXXX3831</v>
      </c>
      <c r="B12" t="str">
        <v>07/08/2025</v>
      </c>
      <c r="C12" s="1">
        <v>11342.1</v>
      </c>
      <c r="D12" t="str">
        <v>FIRST COAST SERV HCCLAIMPMT 250708 CCD 105565</v>
      </c>
      <c r="E12" t="str">
        <v/>
      </c>
    </row>
    <row r="13">
      <c r="A13" t="str">
        <v>GOVERNMENT RECEIVABLES XXXXXXXX3831</v>
      </c>
      <c r="B13" t="str">
        <v>07/02/2025</v>
      </c>
      <c r="C13" s="1">
        <v>15148.19</v>
      </c>
      <c r="D13" t="str">
        <v>FIRST COAST SERV HCCLAIMPMT 250702 CCD 105565</v>
      </c>
      <c r="E13" t="str">
        <v/>
      </c>
    </row>
    <row r="14">
      <c r="A14" t="str">
        <v>NON-GOVERNMENT RECEIVABLE XXXXXXXX3858</v>
      </c>
      <c r="B14" t="str">
        <v>07/31/2025</v>
      </c>
      <c r="C14" s="1">
        <v>10120</v>
      </c>
      <c r="D14" t="str">
        <v>UnitedHealthcare HCCLAIMPMT CCD</v>
      </c>
      <c r="E14" t="str">
        <v/>
      </c>
    </row>
    <row r="15">
      <c r="A15" t="str">
        <v>NON-GOVERNMENT RECEIVABLE XXXXXXXX3858</v>
      </c>
      <c r="B15" t="str">
        <v>07/29/2025</v>
      </c>
      <c r="C15" s="1">
        <v>174292.51</v>
      </c>
      <c r="D15" t="str">
        <v>FLORIDA COMMUNI HCCLAIMPMT CCD</v>
      </c>
      <c r="E15" t="str">
        <v/>
      </c>
    </row>
    <row r="16">
      <c r="A16" t="str">
        <v>NON-GOVERNMENT RECEIVABLE XXXXXXXX3858</v>
      </c>
      <c r="B16" t="str">
        <v>07/29/2025</v>
      </c>
      <c r="C16" s="1">
        <v>10013</v>
      </c>
      <c r="D16" t="str">
        <v>UnitedHealthcare HCCLAIMPMT CCD</v>
      </c>
      <c r="E16" t="str">
        <v/>
      </c>
    </row>
    <row r="17">
      <c r="A17" t="str">
        <v>NON-GOVERNMENT RECEIVABLE XXXXXXXX3858</v>
      </c>
      <c r="B17" t="str">
        <v>07/29/2025</v>
      </c>
      <c r="C17" s="1">
        <v>18855.97</v>
      </c>
      <c r="D17" t="str">
        <v>HMP HCCLAIMPMT 250728 CCD</v>
      </c>
      <c r="E17" t="str">
        <v/>
      </c>
    </row>
    <row r="18">
      <c r="A18" t="str">
        <v>NON-GOVERNMENT RECEIVABLE XXXXXXXX3858</v>
      </c>
      <c r="B18" t="str">
        <v>07/29/2025</v>
      </c>
      <c r="C18" s="1">
        <v>87765.53</v>
      </c>
      <c r="D18" t="str">
        <v>HMP HCCLAIMPMT 250728 CCD</v>
      </c>
      <c r="E18" t="str">
        <v/>
      </c>
    </row>
    <row r="19">
      <c r="A19" t="str">
        <v>NON-GOVERNMENT RECEIVABLE XXXXXXXX3858</v>
      </c>
      <c r="B19" t="str">
        <v>07/29/2025</v>
      </c>
      <c r="C19" s="1">
        <v>573</v>
      </c>
      <c r="D19" t="str">
        <v>REMOTE DEPOSIT REF#4335131</v>
      </c>
      <c r="E19" t="str">
        <v/>
      </c>
    </row>
    <row r="20">
      <c r="A20" t="str">
        <v>NON-GOVERNMENT RECEIVABLE XXXXXXXX3858</v>
      </c>
      <c r="B20" t="str">
        <v>07/28/2025</v>
      </c>
      <c r="C20" s="1">
        <v>614</v>
      </c>
      <c r="D20" t="str">
        <v>BANKCARD BTOT DEP 250725 CCD</v>
      </c>
      <c r="E20" t="str">
        <v/>
      </c>
    </row>
    <row r="21">
      <c r="A21" t="str">
        <v>NON-GOVERNMENT RECEIVABLE XXXXXXXX3858</v>
      </c>
      <c r="B21" t="str">
        <v>07/28/2025</v>
      </c>
      <c r="C21" s="1">
        <v>677.08</v>
      </c>
      <c r="D21" t="str">
        <v>UHC Community Pl HCCLAIMPMT CCD</v>
      </c>
      <c r="E21" t="str">
        <v/>
      </c>
    </row>
    <row r="22">
      <c r="A22" t="str">
        <v>NON-GOVERNMENT RECEIVABLE XXXXXXXX3858</v>
      </c>
      <c r="B22" t="str">
        <v>07/28/2025</v>
      </c>
      <c r="C22" s="1">
        <v>6.71</v>
      </c>
      <c r="D22" t="str">
        <v>UnitedHealthcare HCCLAIMPMT CCD</v>
      </c>
      <c r="E22" t="str">
        <v/>
      </c>
    </row>
    <row r="23">
      <c r="A23" t="str">
        <v>NON-GOVERNMENT RECEIVABLE XXXXXXXX3858</v>
      </c>
      <c r="B23" t="str">
        <v>07/28/2025</v>
      </c>
      <c r="C23" s="1">
        <v>4612</v>
      </c>
      <c r="D23" t="str">
        <v>REMOTE DEPOSIT REF#4335131</v>
      </c>
      <c r="E23" t="str">
        <v/>
      </c>
    </row>
    <row r="24">
      <c r="A24" t="str">
        <v>NON-GOVERNMENT RECEIVABLE XXXXXXXX3858</v>
      </c>
      <c r="B24" t="str">
        <v>07/25/2025</v>
      </c>
      <c r="C24" s="1">
        <v>6.83</v>
      </c>
      <c r="D24" t="str">
        <v>HMP HCCLAIMPMT 250724 CCD</v>
      </c>
      <c r="E24" t="str">
        <v/>
      </c>
    </row>
    <row r="25">
      <c r="A25" t="str">
        <v>NON-GOVERNMENT RECEIVABLE XXXXXXXX3858</v>
      </c>
      <c r="B25" t="str">
        <v>07/24/2025</v>
      </c>
      <c r="C25" s="1">
        <v>1641</v>
      </c>
      <c r="D25" t="str">
        <v>REMOTE DEPOSIT REF#4335131</v>
      </c>
      <c r="E25" t="str">
        <v/>
      </c>
    </row>
    <row r="26">
      <c r="A26" t="str">
        <v>NON-GOVERNMENT RECEIVABLE XXXXXXXX3858</v>
      </c>
      <c r="B26" t="str">
        <v>07/23/2025</v>
      </c>
      <c r="C26" s="1">
        <v>26.85</v>
      </c>
      <c r="D26" t="str">
        <v>UnitedHealthcare HCCLAIMPMT CCD</v>
      </c>
      <c r="E26" t="str">
        <v/>
      </c>
    </row>
    <row r="27">
      <c r="A27" t="str">
        <v>NON-GOVERNMENT RECEIVABLE XXXXXXXX3858</v>
      </c>
      <c r="B27" t="str">
        <v>07/22/2025</v>
      </c>
      <c r="C27" s="1">
        <v>7751.5</v>
      </c>
      <c r="D27" t="str">
        <v>AARP Supplementa HCCLAIMPMT CCD</v>
      </c>
      <c r="E27" t="str">
        <v/>
      </c>
    </row>
    <row r="28">
      <c r="A28" t="str">
        <v>NON-GOVERNMENT RECEIVABLE XXXXXXXX3858</v>
      </c>
      <c r="B28" t="str">
        <v>07/22/2025</v>
      </c>
      <c r="C28" s="1">
        <v>16531.5</v>
      </c>
      <c r="D28" t="str">
        <v>UnitedHealthcare HCCLAIMPMT CCD</v>
      </c>
      <c r="E28" t="str">
        <v/>
      </c>
    </row>
    <row r="29">
      <c r="A29" t="str">
        <v>NON-GOVERNMENT RECEIVABLE XXXXXXXX3858</v>
      </c>
      <c r="B29" t="str">
        <v>07/22/2025</v>
      </c>
      <c r="C29" s="1">
        <v>2095</v>
      </c>
      <c r="D29" t="str">
        <v>REMOTE DEPOSIT REF#4335131</v>
      </c>
      <c r="E29" t="str">
        <v/>
      </c>
    </row>
    <row r="30">
      <c r="A30" t="str">
        <v>NON-GOVERNMENT RECEIVABLE XXXXXXXX3858</v>
      </c>
      <c r="B30" t="str">
        <v>07/21/2025</v>
      </c>
      <c r="C30" s="1">
        <v>2482.82</v>
      </c>
      <c r="D30" t="str">
        <v>Optum VA CCN Reg HCCLAIMPMT CCD</v>
      </c>
      <c r="E30" t="str">
        <v/>
      </c>
    </row>
    <row r="31">
      <c r="A31" t="str">
        <v>NON-GOVERNMENT RECEIVABLE XXXXXXXX3858</v>
      </c>
      <c r="B31" t="str">
        <v>07/21/2025</v>
      </c>
      <c r="C31" s="1">
        <v>58492.58</v>
      </c>
      <c r="D31" t="str">
        <v>REMOTE DEPOSIT REF#4335131</v>
      </c>
      <c r="E31" t="str">
        <v/>
      </c>
    </row>
    <row r="32">
      <c r="A32" t="str">
        <v>NON-GOVERNMENT RECEIVABLE XXXXXXXX3858</v>
      </c>
      <c r="B32" t="str">
        <v>07/18/2025</v>
      </c>
      <c r="C32" s="1">
        <v>9838.45</v>
      </c>
      <c r="D32" t="str">
        <v>Optum VA CCN Reg HCCLAIMPMT CCD</v>
      </c>
      <c r="E32" t="str">
        <v/>
      </c>
    </row>
    <row r="33">
      <c r="A33" t="str">
        <v>NON-GOVERNMENT RECEIVABLE XXXXXXXX3858</v>
      </c>
      <c r="B33" t="str">
        <v>07/18/2025</v>
      </c>
      <c r="C33" s="1">
        <v>157.99</v>
      </c>
      <c r="D33" t="str">
        <v>UnitedHealthcare HCCLAIMPMT CCD</v>
      </c>
      <c r="E33" t="str">
        <v/>
      </c>
    </row>
    <row r="34">
      <c r="A34" t="str">
        <v>NON-GOVERNMENT RECEIVABLE XXXXXXXX3858</v>
      </c>
      <c r="B34" t="str">
        <v>07/18/2025</v>
      </c>
      <c r="C34" s="1">
        <v>9629.42</v>
      </c>
      <c r="D34" t="str">
        <v>REMOTE DEPOSIT REF#4335131</v>
      </c>
      <c r="E34" t="str">
        <v/>
      </c>
    </row>
    <row r="35">
      <c r="A35" t="str">
        <v>NON-GOVERNMENT RECEIVABLE XXXXXXXX3858</v>
      </c>
      <c r="B35" t="str">
        <v>07/17/2025</v>
      </c>
      <c r="C35" s="1">
        <v>2013</v>
      </c>
      <c r="D35" t="str">
        <v>REMOTE DEPOSIT REF#4335131</v>
      </c>
      <c r="E35" t="str">
        <v/>
      </c>
    </row>
    <row r="36">
      <c r="A36" t="str">
        <v>NON-GOVERNMENT RECEIVABLE XXXXXXXX3858</v>
      </c>
      <c r="B36" t="str">
        <v>07/16/2025</v>
      </c>
      <c r="C36" s="1">
        <v>2244</v>
      </c>
      <c r="D36" t="str">
        <v>BANKCARD BTOT DEP 250715 CCD</v>
      </c>
      <c r="E36" t="str">
        <v/>
      </c>
    </row>
    <row r="37">
      <c r="A37" t="str">
        <v>NON-GOVERNMENT RECEIVABLE XXXXXXXX3858</v>
      </c>
      <c r="B37" t="str">
        <v>07/15/2025</v>
      </c>
      <c r="C37" s="1">
        <v>4000</v>
      </c>
      <c r="D37" t="str">
        <v>BANKCARD BTOT DEP 250714 CCD</v>
      </c>
      <c r="E37" t="str">
        <v/>
      </c>
    </row>
    <row r="38">
      <c r="A38" t="str">
        <v>NON-GOVERNMENT RECEIVABLE XXXXXXXX3858</v>
      </c>
      <c r="B38" t="str">
        <v>07/15/2025</v>
      </c>
      <c r="C38" s="1">
        <v>4244.43</v>
      </c>
      <c r="D38" t="str">
        <v>UHC Community Pl HCCLAIMPMT CCD</v>
      </c>
      <c r="E38" t="str">
        <v/>
      </c>
    </row>
    <row r="39">
      <c r="A39" t="str">
        <v>NON-GOVERNMENT RECEIVABLE XXXXXXXX3858</v>
      </c>
      <c r="B39" t="str">
        <v>07/15/2025</v>
      </c>
      <c r="C39" s="1">
        <v>5136.16</v>
      </c>
      <c r="D39" t="str">
        <v>REMOTE DEPOSIT REF#4335131</v>
      </c>
      <c r="E39" t="str">
        <v/>
      </c>
    </row>
    <row r="40">
      <c r="A40" t="str">
        <v>NON-GOVERNMENT RECEIVABLE XXXXXXXX3858</v>
      </c>
      <c r="B40" t="str">
        <v>07/14/2025</v>
      </c>
      <c r="C40" s="1">
        <v>9677.92</v>
      </c>
      <c r="D40" t="str">
        <v>Sunshine State H HCCLAIMPMT 250711 CCD</v>
      </c>
      <c r="E40" t="str">
        <v/>
      </c>
    </row>
    <row r="41">
      <c r="A41" t="str">
        <v>NON-GOVERNMENT RECEIVABLE XXXXXXXX3858</v>
      </c>
      <c r="B41" t="str">
        <v>07/14/2025</v>
      </c>
      <c r="C41" s="1">
        <v>9893.06</v>
      </c>
      <c r="D41" t="str">
        <v>UnitedHealthcare HCCLAIMPMT CCD</v>
      </c>
      <c r="E41" t="str">
        <v/>
      </c>
    </row>
    <row r="42">
      <c r="A42" t="str">
        <v>NON-GOVERNMENT RECEIVABLE XXXXXXXX3858</v>
      </c>
      <c r="B42" t="str">
        <v>07/14/2025</v>
      </c>
      <c r="C42" s="1">
        <v>19096.71</v>
      </c>
      <c r="D42" t="str">
        <v>REMOTE DEPOSIT REF#4335131</v>
      </c>
      <c r="E42" t="str">
        <v/>
      </c>
    </row>
    <row r="43">
      <c r="A43" t="str">
        <v>NON-GOVERNMENT RECEIVABLE XXXXXXXX3858</v>
      </c>
      <c r="B43" t="str">
        <v>07/09/2025</v>
      </c>
      <c r="C43" s="1">
        <v>86.8</v>
      </c>
      <c r="D43" t="str">
        <v>BANKCARD BTOT DEP 250708 CCD</v>
      </c>
      <c r="E43" t="str">
        <v/>
      </c>
    </row>
    <row r="44">
      <c r="A44" t="str">
        <v>NON-GOVERNMENT RECEIVABLE XXXXXXXX3858</v>
      </c>
      <c r="B44" t="str">
        <v>07/09/2025</v>
      </c>
      <c r="C44" s="1">
        <v>16348</v>
      </c>
      <c r="D44" t="str">
        <v>UnitedHealthcare HCCLAIMPMT CCD</v>
      </c>
      <c r="E44" t="str">
        <v/>
      </c>
    </row>
    <row r="45">
      <c r="A45" t="str">
        <v>NON-GOVERNMENT RECEIVABLE XXXXXXXX3858</v>
      </c>
      <c r="B45" t="str">
        <v>07/09/2025</v>
      </c>
      <c r="C45" s="1">
        <v>2358.25</v>
      </c>
      <c r="D45" t="str">
        <v>REMOTE DEPOSIT REF#4335131</v>
      </c>
      <c r="E45" t="str">
        <v/>
      </c>
    </row>
    <row r="46">
      <c r="A46" t="str">
        <v>NON-GOVERNMENT RECEIVABLE XXXXXXXX3858</v>
      </c>
      <c r="B46" t="str">
        <v>07/08/2025</v>
      </c>
      <c r="C46" s="1">
        <v>19833.45</v>
      </c>
      <c r="D46" t="str">
        <v>REMOTE DEPOSIT REF#4335131</v>
      </c>
      <c r="E46" t="str">
        <v/>
      </c>
    </row>
    <row r="47">
      <c r="A47" t="str">
        <v>NON-GOVERNMENT RECEIVABLE XXXXXXXX3858</v>
      </c>
      <c r="B47" t="str">
        <v>07/08/2025</v>
      </c>
      <c r="C47" s="1">
        <v>81.5</v>
      </c>
      <c r="D47" t="str">
        <v>REMOTE DEPOSIT REF#4335131</v>
      </c>
      <c r="E47" t="str">
        <v/>
      </c>
    </row>
    <row r="48">
      <c r="A48" t="str">
        <v>NON-GOVERNMENT RECEIVABLE XXXXXXXX3858</v>
      </c>
      <c r="B48" t="str">
        <v>07/07/2025</v>
      </c>
      <c r="C48" s="1">
        <v>717</v>
      </c>
      <c r="D48" t="str">
        <v>Sunshine State H HCCLAIMPMT 250704 CCD</v>
      </c>
      <c r="E48" t="str">
        <v/>
      </c>
    </row>
    <row r="49">
      <c r="A49" t="str">
        <v>NON-GOVERNMENT RECEIVABLE XXXXXXXX3858</v>
      </c>
      <c r="B49" t="str">
        <v>07/07/2025</v>
      </c>
      <c r="C49" s="1">
        <v>2700.27</v>
      </c>
      <c r="D49" t="str">
        <v>BANKCARD BTOT DEP 250706 CCD</v>
      </c>
      <c r="E49" t="str">
        <v/>
      </c>
    </row>
    <row r="50">
      <c r="A50" t="str">
        <v>NON-GOVERNMENT RECEIVABLE XXXXXXXX3858</v>
      </c>
      <c r="B50" t="str">
        <v>07/03/2025</v>
      </c>
      <c r="C50" s="1">
        <v>5280</v>
      </c>
      <c r="D50" t="str">
        <v>UnitedHealthcare HCCLAIMPMT CCD</v>
      </c>
      <c r="E50" t="str">
        <v/>
      </c>
    </row>
    <row r="51">
      <c r="A51" t="str">
        <v>NON-GOVERNMENT RECEIVABLE XXXXXXXX3858</v>
      </c>
      <c r="B51" t="str">
        <v>07/03/2025</v>
      </c>
      <c r="C51" s="1">
        <v>4400</v>
      </c>
      <c r="D51" t="str">
        <v>UNITEDHEALTHCARE HCCLAIMPMT CCD</v>
      </c>
      <c r="E51" t="str">
        <v/>
      </c>
    </row>
    <row r="52">
      <c r="A52" t="str">
        <v>NON-GOVERNMENT RECEIVABLE XXXXXXXX3858</v>
      </c>
      <c r="B52" t="str">
        <v>07/03/2025</v>
      </c>
      <c r="C52" s="1">
        <v>6587.97</v>
      </c>
      <c r="D52" t="str">
        <v>HMP HCCLAIMPMT 250702 CCD</v>
      </c>
      <c r="E52" t="str">
        <v/>
      </c>
    </row>
    <row r="53">
      <c r="A53" t="str">
        <v>NON-GOVERNMENT RECEIVABLE XXXXXXXX3858</v>
      </c>
      <c r="B53" t="str">
        <v>07/02/2025</v>
      </c>
      <c r="C53" s="1">
        <v>7056.9</v>
      </c>
      <c r="D53" t="str">
        <v>UHC Community Pl HCCLAIMPMT CCD</v>
      </c>
      <c r="E53" t="str">
        <v/>
      </c>
    </row>
    <row r="54">
      <c r="A54" t="str">
        <v>NON-GOVERNMENT RECEIVABLE XXXXXXXX3858</v>
      </c>
      <c r="B54" t="str">
        <v>07/02/2025</v>
      </c>
      <c r="C54" s="1">
        <v>1639.05</v>
      </c>
      <c r="D54" t="str">
        <v>UnitedHealthcare HCCLAIMPMT CCD</v>
      </c>
      <c r="E54" t="str">
        <v/>
      </c>
    </row>
    <row r="55">
      <c r="A55" t="str">
        <v>NON-GOVERNMENT RECEIVABLE XXXXXXXX3858</v>
      </c>
      <c r="B55" t="str">
        <v>07/02/2025</v>
      </c>
      <c r="C55" s="1">
        <v>92666.42</v>
      </c>
      <c r="D55" t="str">
        <v>UHC Community Pl HCCLAIMPMT CCD</v>
      </c>
      <c r="E55" t="str">
        <v/>
      </c>
    </row>
    <row r="56">
      <c r="A56" t="str">
        <v>NON-GOVERNMENT RECEIVABLE XXXXXXXX3858</v>
      </c>
      <c r="B56" t="str">
        <v>07/02/2025</v>
      </c>
      <c r="C56" s="1">
        <v>39269.09</v>
      </c>
      <c r="D56" t="str">
        <v>UHC Community Pl HCCLAIMPMT CCD</v>
      </c>
      <c r="E56" t="str">
        <v/>
      </c>
    </row>
    <row r="57">
      <c r="A57" t="str">
        <v>NON-GOVERNMENT RECEIVABLE XXXXXXXX3858</v>
      </c>
      <c r="B57" t="str">
        <v>07/02/2025</v>
      </c>
      <c r="C57" s="1">
        <v>25715.2</v>
      </c>
      <c r="D57" t="str">
        <v>Sunshine State H HCCLAIMPMT 250701 CCD</v>
      </c>
      <c r="E57" t="str">
        <v/>
      </c>
    </row>
    <row r="58">
      <c r="A58" t="str">
        <v>NON-GOVERNMENT RECEIVABLE XXXXXXXX3858</v>
      </c>
      <c r="B58" t="str">
        <v>07/02/2025</v>
      </c>
      <c r="C58" s="1">
        <v>2304.5</v>
      </c>
      <c r="D58" t="str">
        <v>REMOTE DEPOSIT REF#4335131</v>
      </c>
      <c r="E58" t="str">
        <v/>
      </c>
    </row>
    <row r="59">
      <c r="A59" t="str">
        <v>NON-GOVERNMENT RECEIVABLE XXXXXXXX3858</v>
      </c>
      <c r="B59" t="str">
        <v>07/01/2025</v>
      </c>
      <c r="C59" s="1">
        <v>2581.65</v>
      </c>
      <c r="D59" t="str">
        <v>HMP HCCLAIMPMT 250630 CCD</v>
      </c>
      <c r="E59" t="str">
        <v/>
      </c>
    </row>
    <row r="60">
      <c r="A60" t="str">
        <v>NON-GOVERNMENT RECEIVABLE XXXXXXXX3858</v>
      </c>
      <c r="B60" t="str">
        <v>07/01/2025</v>
      </c>
      <c r="C60" s="1">
        <v>13927.48</v>
      </c>
      <c r="D60" t="str">
        <v>HMP HCCLAIMPMT 250630 CCD</v>
      </c>
      <c r="E60" t="str">
        <v/>
      </c>
    </row>
    <row r="61">
      <c r="A61" t="str">
        <v>GOVERNMENT RECEIVABLES XXXXXXXX3831</v>
      </c>
      <c r="B61" t="str">
        <v>07/08/2025</v>
      </c>
      <c r="C61" s="1">
        <v>1961.37</v>
      </c>
      <c r="D61" t="str">
        <v>ACH MEDICAID HCCLAIMPMT 250627 CCD</v>
      </c>
      <c r="E61" t="str">
        <v/>
      </c>
    </row>
    <row r="62">
      <c r="A62" t="str">
        <v>NON-GOVERNMENT RECEIVABLE XXXXXXXX3858</v>
      </c>
      <c r="B62" t="str">
        <v>07/21/2025</v>
      </c>
      <c r="C62" s="1">
        <v>48320.58</v>
      </c>
      <c r="D62" t="str">
        <v>BANKCARD BTOT DEP 250720 CCD</v>
      </c>
      <c r="E62" t="str">
        <v/>
      </c>
    </row>
    <row r="63">
      <c r="A63" t="str">
        <v>NON-GOVERNMENT RECEIVABLE XXXXXXXX3858</v>
      </c>
      <c r="B63" t="str">
        <v>07/10/2025</v>
      </c>
      <c r="C63" s="1">
        <v>17730.4</v>
      </c>
      <c r="D63" t="str">
        <v>BANKCARD BTOT DEP 250709 CCD</v>
      </c>
      <c r="E63" t="str">
        <v/>
      </c>
    </row>
    <row r="64">
      <c r="A64" t="str">
        <v>NON-GOVERNMENT RECEIVABLE XXXXXXXX3858</v>
      </c>
      <c r="B64" t="str">
        <v>07/02/2025</v>
      </c>
      <c r="C64" s="1">
        <v>15848.71</v>
      </c>
      <c r="D64" t="str">
        <v>BANKCARD BTOT DEP 250701 CCD</v>
      </c>
      <c r="E64" t="str">
        <v/>
      </c>
    </row>
    <row r="65">
      <c r="A65" t="str">
        <v>NON-GOVERNMENT RECEIVABLE XXXXXXXX3858</v>
      </c>
      <c r="B65" t="str">
        <v>07/23/2025</v>
      </c>
      <c r="C65" s="1">
        <v>18209.25</v>
      </c>
      <c r="D65" t="str">
        <v>REMOTE DEPOSIT REF#4335131</v>
      </c>
      <c r="E65" t="str">
        <v/>
      </c>
    </row>
    <row r="66">
      <c r="A66" t="str">
        <v>NON-GOVERNMENT RECEIVABLE XXXXXXXX3858</v>
      </c>
      <c r="B66" t="str">
        <v>07/30/2025</v>
      </c>
      <c r="C66" s="1">
        <v>56168.68</v>
      </c>
      <c r="D66" t="str">
        <v>Sunshine State H HCCLAIMPMT 250729 CCD</v>
      </c>
      <c r="E66" t="str">
        <v/>
      </c>
    </row>
    <row r="67">
      <c r="A67" t="str">
        <v>NON-GOVERNMENT RECEIVABLE XXXXXXXX3858</v>
      </c>
      <c r="B67" t="str">
        <v>07/30/2025</v>
      </c>
      <c r="C67" s="1">
        <v>30764.9</v>
      </c>
      <c r="D67" t="str">
        <v>BANKCARD BTOT DEP 250729 CCD</v>
      </c>
      <c r="E67" t="str">
        <v/>
      </c>
    </row>
    <row r="68">
      <c r="A68" t="str">
        <v>NON-GOVERNMENT RECEIVABLE XXXXXXXX3858</v>
      </c>
      <c r="B68" t="str">
        <v>07/31/2025</v>
      </c>
      <c r="C68" s="1">
        <v>14087</v>
      </c>
      <c r="D68" t="str">
        <v>REMOTE DEPOSIT REF#4335131</v>
      </c>
      <c r="E68" t="str">
        <v/>
      </c>
    </row>
    <row r="69">
      <c r="A69" t="str">
        <v>GOVERNMENT RECEIVABLES XXXXXXXX3831</v>
      </c>
      <c r="B69" t="str">
        <v>07/01/2025</v>
      </c>
      <c r="C69" s="1">
        <v>26.31</v>
      </c>
      <c r="D69" t="str">
        <v>FIRST COAST SERV HCCLAIMPMT 250701 CCD 105565</v>
      </c>
      <c r="E69" t="str">
        <v/>
      </c>
    </row>
    <row r="70">
      <c r="A70" t="str">
        <v>MONOGRAM CHECKING 1503764063</v>
      </c>
      <c r="B70" t="str">
        <v>07/28/2025</v>
      </c>
      <c r="C70" s="1">
        <v>7181.53</v>
      </c>
      <c r="D70" t="str">
        <v>ACH DEPOSIT ILUMED LLC HCCLAIMPMT COASTAL CENTER OPERATI</v>
      </c>
      <c r="E70" t="str">
        <v/>
      </c>
    </row>
    <row r="71">
      <c r="A71" t="str">
        <v>MONOGRAM CHECKING 1504225212</v>
      </c>
      <c r="B71" t="str">
        <v>07/25/2025</v>
      </c>
      <c r="C71" s="1">
        <v>15.01</v>
      </c>
      <c r="D71" t="str">
        <v>ONLINE TRANSFER CREDIT ONLINE XFR FROM: XXXXXX4314</v>
      </c>
      <c r="E71" t="str">
        <v>9999</v>
      </c>
    </row>
    <row r="72">
      <c r="A72" t="str">
        <v>NON-GOVERNMENT RECEIVABLE XXXXXXXX3858</v>
      </c>
      <c r="B72" t="str">
        <v>07/02/2025</v>
      </c>
      <c r="C72" s="1">
        <v>0.5</v>
      </c>
      <c r="D72" t="str">
        <v>TRANSFER FROM 03-</v>
      </c>
      <c r="E72" t="str">
        <v>9999</v>
      </c>
    </row>
    <row r="73">
      <c r="A73" t="str">
        <v>NON-GOVERNMENT RECEIVABLE XXXXXXXX3858</v>
      </c>
      <c r="B73" t="str">
        <v>07/21/2025</v>
      </c>
      <c r="C73" s="1">
        <v>0.42</v>
      </c>
      <c r="D73" t="str">
        <v>TRANSFER FROM 03-</v>
      </c>
      <c r="E73" t="str">
        <v>9999</v>
      </c>
    </row>
    <row r="74">
      <c r="A74" t="str">
        <v>MONOGRAM CHECKING 1503764063</v>
      </c>
      <c r="B74" t="str">
        <v>07/02/2025</v>
      </c>
      <c r="C74" s="1">
        <v>30</v>
      </c>
      <c r="D74" t="str">
        <v>ACH DEPOSIT NDC SWEEP FAC B661</v>
      </c>
      <c r="E74" t="str">
        <v>9999</v>
      </c>
    </row>
    <row r="75">
      <c r="A75" t="str">
        <v>MONOGRAM CHECKING 1503764063</v>
      </c>
      <c r="B75" t="str">
        <v>07/07/2025</v>
      </c>
      <c r="C75" s="1">
        <v>23145</v>
      </c>
      <c r="D75" t="str">
        <v>ACH DEPOSIT NDC SWEEP FAC B661</v>
      </c>
      <c r="E75" t="str">
        <v>9999</v>
      </c>
    </row>
    <row r="76">
      <c r="A76" t="str">
        <v>MONOGRAM CHECKING 1503764063</v>
      </c>
      <c r="B76" t="str">
        <v>07/09/2025</v>
      </c>
      <c r="C76" s="1">
        <v>1051</v>
      </c>
      <c r="D76" t="str">
        <v>ACH DEPOSIT NDC SWEEP FAC B661</v>
      </c>
      <c r="E76" t="str">
        <v>9999</v>
      </c>
    </row>
    <row r="77">
      <c r="A77" t="str">
        <v>MONOGRAM CHECKING 1503764063</v>
      </c>
      <c r="B77" t="str">
        <v>07/10/2025</v>
      </c>
      <c r="C77" s="1">
        <v>1618.6</v>
      </c>
      <c r="D77" t="str">
        <v>ACH DEPOSIT NDC SWEEP FAC B661</v>
      </c>
      <c r="E77" t="str">
        <v>9999</v>
      </c>
    </row>
    <row r="78">
      <c r="A78" t="str">
        <v>MONOGRAM CHECKING 1503764063</v>
      </c>
      <c r="B78" t="str">
        <v>07/17/2025</v>
      </c>
      <c r="C78" s="1">
        <v>350.17</v>
      </c>
      <c r="D78" t="str">
        <v>ACH DEPOSIT NDC SWEEP FAC B661</v>
      </c>
      <c r="E78" t="str">
        <v>9999</v>
      </c>
    </row>
    <row r="79">
      <c r="A79" t="str">
        <v>MONOGRAM CHECKING 1503764063</v>
      </c>
      <c r="B79" t="str">
        <v>07/24/2025</v>
      </c>
      <c r="C79" s="1">
        <v>189.3</v>
      </c>
      <c r="D79" t="str">
        <v>ACH DEPOSIT NDC SWEEP FAC B661</v>
      </c>
      <c r="E79" t="str">
        <v>9999</v>
      </c>
    </row>
  </sheetData>
  <ignoredErrors>
    <ignoredError numberStoredAsText="1" sqref="A1:E7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Bank Account</v>
      </c>
      <c r="B1" t="str">
        <v>Date</v>
      </c>
      <c r="C1" t="str">
        <v>Amount</v>
      </c>
      <c r="D1" t="str">
        <v>Description</v>
      </c>
      <c r="E1" t="str">
        <v>Type</v>
      </c>
    </row>
    <row r="2">
      <c r="A2" t="str">
        <v>RFMS Account # ****6932</v>
      </c>
      <c r="B2" t="str">
        <v>07/23/2025</v>
      </c>
      <c r="C2" s="1">
        <v>225</v>
      </c>
      <c r="D2" t="str">
        <v>NATL DATACARE CRT#20723 DIRECT DEPOSIT</v>
      </c>
      <c r="E2" t="str">
        <v>RFMS</v>
      </c>
    </row>
    <row r="3">
      <c r="A3" t="str">
        <v>RFMS Account # ****6932</v>
      </c>
      <c r="B3" t="str">
        <v>07/08/2025</v>
      </c>
      <c r="C3" s="1">
        <v>1051</v>
      </c>
      <c r="D3" t="str">
        <v>NATL DATACARE CRT#3A0298 DEP RECORD #7725D1</v>
      </c>
      <c r="E3" t="str">
        <v>RFMS</v>
      </c>
    </row>
    <row r="4">
      <c r="A4" t="str">
        <v>RFMS Account # ****6932</v>
      </c>
      <c r="B4" t="str">
        <v>07/22/2025</v>
      </c>
      <c r="C4" s="1">
        <v>181</v>
      </c>
      <c r="D4" t="str">
        <v>NATL DATACARE CRT#8A963C WDL RECORD #72125W1</v>
      </c>
      <c r="E4" t="str">
        <v>RFMS</v>
      </c>
    </row>
    <row r="5">
      <c r="A5" t="str">
        <v>RFMS Account # ****6932</v>
      </c>
      <c r="B5" t="str">
        <v>07/03/2025</v>
      </c>
      <c r="C5" s="1">
        <v>23145</v>
      </c>
      <c r="D5" t="str">
        <v>NATL DATACARE CRT#20703 DIRECT DEPOSIT</v>
      </c>
      <c r="E5" t="str">
        <v>RFMS</v>
      </c>
    </row>
    <row r="6">
      <c r="A6" t="str">
        <v>RFMS Account # ****6932</v>
      </c>
      <c r="B6" t="str">
        <v>07/16/2025</v>
      </c>
      <c r="C6" s="1">
        <v>350.17</v>
      </c>
      <c r="D6" t="str">
        <v>NATL DATACARE CRT#8F492C WDL RECORD #71625W1</v>
      </c>
      <c r="E6" t="str">
        <v>RFMS</v>
      </c>
    </row>
    <row r="7">
      <c r="A7" t="str">
        <v>RFMS Account # ****6932</v>
      </c>
      <c r="B7" t="str">
        <v>07/01/2025</v>
      </c>
      <c r="C7" s="1">
        <v>30</v>
      </c>
      <c r="D7" t="str">
        <v>NATL DATACARE CRT#20701 DIRECT DEPOSIT</v>
      </c>
      <c r="E7" t="str">
        <v>RFMS</v>
      </c>
    </row>
    <row r="8">
      <c r="A8" t="str">
        <v>RFMS Account # ****6932</v>
      </c>
      <c r="B8" t="str">
        <v>07/09/2025</v>
      </c>
      <c r="C8" s="1">
        <v>1618.6</v>
      </c>
      <c r="D8" t="str">
        <v>NATL DATACARE CRT#20709 DIRECT DEPOSIT</v>
      </c>
      <c r="E8" t="str">
        <v>RFMS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Date</v>
      </c>
      <c r="B1" t="str">
        <v>Amount</v>
      </c>
      <c r="C1" t="str">
        <v>Description</v>
      </c>
    </row>
    <row r="2">
      <c r="A2" t="str">
        <v>07/03/2025</v>
      </c>
      <c r="B2" s="1">
        <v>23145</v>
      </c>
      <c r="C2" t="str">
        <v>RFMS</v>
      </c>
    </row>
    <row r="3">
      <c r="A3" t="str">
        <v>07/01/2025</v>
      </c>
      <c r="B3" s="1">
        <v>30</v>
      </c>
      <c r="C3" t="str">
        <v>RFMS</v>
      </c>
    </row>
    <row r="4">
      <c r="A4" t="str">
        <v>07/19/2025</v>
      </c>
      <c r="B4" s="1">
        <v>40.52</v>
      </c>
      <c r="C4" t="str">
        <v>Careplus</v>
      </c>
    </row>
    <row r="5">
      <c r="A5" t="str">
        <v>07/08/2025</v>
      </c>
      <c r="B5" s="1">
        <v>10800</v>
      </c>
      <c r="C5" t="str">
        <v>Careplus</v>
      </c>
    </row>
    <row r="6">
      <c r="A6" t="str">
        <v>07/07/2025</v>
      </c>
      <c r="B6" s="1">
        <v>900</v>
      </c>
      <c r="C6" t="str">
        <v>Careplus</v>
      </c>
    </row>
    <row r="7">
      <c r="A7" t="str">
        <v>07/29/2025</v>
      </c>
      <c r="B7" s="1">
        <v>9954.3</v>
      </c>
      <c r="C7" t="str">
        <v>MCR</v>
      </c>
    </row>
    <row r="8">
      <c r="A8" t="str">
        <v>07/23/2025</v>
      </c>
      <c r="B8" s="1">
        <v>117.22</v>
      </c>
      <c r="C8" t="str">
        <v>MCR</v>
      </c>
    </row>
    <row r="9">
      <c r="A9" t="str">
        <v>07/22/2025</v>
      </c>
      <c r="B9" s="1">
        <v>209876.71</v>
      </c>
      <c r="C9" t="str">
        <v>MCR</v>
      </c>
    </row>
    <row r="10">
      <c r="A10" t="str">
        <v>07/16/2025</v>
      </c>
      <c r="B10" s="1">
        <v>31207.22</v>
      </c>
      <c r="C10" t="str">
        <v>MCD</v>
      </c>
    </row>
    <row r="11">
      <c r="A11" t="str">
        <v>07/15/2025</v>
      </c>
      <c r="B11" s="1">
        <v>9001</v>
      </c>
      <c r="C11" t="str">
        <v>MCR</v>
      </c>
    </row>
    <row r="12">
      <c r="A12" t="str">
        <v>07/23/2025</v>
      </c>
      <c r="B12" s="1">
        <v>225</v>
      </c>
      <c r="C12" t="str">
        <v>RFMS</v>
      </c>
    </row>
    <row r="13">
      <c r="A13" t="str">
        <v>07/22/2025</v>
      </c>
      <c r="B13" s="1">
        <v>181</v>
      </c>
      <c r="C13" t="str">
        <v>RFMS</v>
      </c>
    </row>
    <row r="14">
      <c r="A14" t="str">
        <v>07/16/2025</v>
      </c>
      <c r="B14" s="1">
        <v>350.17</v>
      </c>
      <c r="C14" t="str">
        <v>RFMS</v>
      </c>
    </row>
    <row r="15">
      <c r="A15" t="str">
        <v>07/09/2025</v>
      </c>
      <c r="B15" s="1">
        <v>1618.6</v>
      </c>
      <c r="C15" t="str">
        <v>RFMS</v>
      </c>
    </row>
    <row r="16">
      <c r="A16" t="str">
        <v>07/08/2025</v>
      </c>
      <c r="B16" s="1">
        <v>1051</v>
      </c>
      <c r="C16" t="str">
        <v>RFMS</v>
      </c>
    </row>
    <row r="17">
      <c r="A17" t="str">
        <v>07/28/2025</v>
      </c>
      <c r="B17" s="1">
        <v>4612</v>
      </c>
      <c r="C17" t="str">
        <v>Deposit</v>
      </c>
    </row>
    <row r="18">
      <c r="A18" t="str">
        <v>07/22/2025</v>
      </c>
      <c r="B18" s="1">
        <v>6.83</v>
      </c>
      <c r="C18" t="str">
        <v>Humana</v>
      </c>
    </row>
    <row r="19">
      <c r="A19" t="str">
        <v>07/24/2025</v>
      </c>
      <c r="B19" s="1">
        <v>1641</v>
      </c>
      <c r="C19" t="str">
        <v>Deposit</v>
      </c>
    </row>
    <row r="20">
      <c r="A20" t="str">
        <v>07/19/2025</v>
      </c>
      <c r="B20" s="1">
        <v>26.85</v>
      </c>
      <c r="C20" t="str">
        <v>UHC</v>
      </c>
    </row>
    <row r="21">
      <c r="A21" t="str">
        <v>07/22/2025</v>
      </c>
      <c r="B21" s="1">
        <v>7751.5</v>
      </c>
      <c r="C21" t="str">
        <v>AARP</v>
      </c>
    </row>
    <row r="22">
      <c r="A22" t="str">
        <v>07/18/2025</v>
      </c>
      <c r="B22" s="1">
        <v>16531.5</v>
      </c>
      <c r="C22" t="str">
        <v>UHC</v>
      </c>
    </row>
    <row r="23">
      <c r="A23" t="str">
        <v>07/22/2025</v>
      </c>
      <c r="B23" s="1">
        <v>2095</v>
      </c>
      <c r="C23" t="str">
        <v>Deposit</v>
      </c>
    </row>
    <row r="24">
      <c r="A24" t="str">
        <v>07/21/2025</v>
      </c>
      <c r="B24" s="1">
        <v>2482.82</v>
      </c>
      <c r="C24" t="str">
        <v>Optum</v>
      </c>
    </row>
    <row r="25">
      <c r="A25" t="str">
        <v>07/16/2025</v>
      </c>
      <c r="B25" s="1">
        <v>157.99</v>
      </c>
      <c r="C25" t="str">
        <v>UHC</v>
      </c>
    </row>
    <row r="26">
      <c r="A26" t="str">
        <v>07/18/2025</v>
      </c>
      <c r="B26" s="1">
        <v>9629.42</v>
      </c>
      <c r="C26" t="str">
        <v>Deposit</v>
      </c>
    </row>
    <row r="27">
      <c r="A27" t="str">
        <v>07/17/2025</v>
      </c>
      <c r="B27" s="1">
        <v>2013</v>
      </c>
      <c r="C27" t="str">
        <v>Deposit</v>
      </c>
    </row>
    <row r="28">
      <c r="A28" t="str">
        <v>07/14/2025</v>
      </c>
      <c r="B28" s="1">
        <v>2244</v>
      </c>
      <c r="C28" t="str">
        <v>CC</v>
      </c>
    </row>
    <row r="29">
      <c r="A29" t="str">
        <v>07/13/2025</v>
      </c>
      <c r="B29" s="1">
        <v>4000</v>
      </c>
      <c r="C29" t="str">
        <v>CC</v>
      </c>
    </row>
    <row r="30">
      <c r="A30" t="str">
        <v>07/11/2025</v>
      </c>
      <c r="B30" s="1">
        <v>4244.43</v>
      </c>
      <c r="C30" t="str">
        <v>UHC</v>
      </c>
    </row>
    <row r="31">
      <c r="A31" t="str">
        <v>07/15/2025</v>
      </c>
      <c r="B31" s="1">
        <v>5136.16</v>
      </c>
      <c r="C31" t="str">
        <v>Deposit</v>
      </c>
    </row>
    <row r="32">
      <c r="A32" t="str">
        <v>07/11/2025</v>
      </c>
      <c r="B32" s="1">
        <v>9677.92</v>
      </c>
      <c r="C32" t="str">
        <v>Sunshine</v>
      </c>
    </row>
    <row r="33">
      <c r="A33" t="str">
        <v>07/10/2025</v>
      </c>
      <c r="B33" s="1">
        <v>9893.06</v>
      </c>
      <c r="C33" t="str">
        <v>UHC</v>
      </c>
    </row>
    <row r="34">
      <c r="A34" t="str">
        <v>07/14/2025</v>
      </c>
      <c r="B34" s="1">
        <v>19096.71</v>
      </c>
      <c r="C34" t="str">
        <v>Deposit</v>
      </c>
    </row>
    <row r="35">
      <c r="A35" t="str">
        <v>07/07/2025</v>
      </c>
      <c r="B35" s="1">
        <v>86.8</v>
      </c>
      <c r="C35" t="str">
        <v>CC</v>
      </c>
    </row>
    <row r="36">
      <c r="A36" t="str">
        <v>07/09/2025</v>
      </c>
      <c r="B36" s="1">
        <v>16348</v>
      </c>
      <c r="C36" t="str">
        <v>UHC</v>
      </c>
    </row>
    <row r="37">
      <c r="A37" t="str">
        <v>07/09/2025</v>
      </c>
      <c r="B37" s="1">
        <v>2358.25</v>
      </c>
      <c r="C37" t="str">
        <v>Deposit</v>
      </c>
    </row>
    <row r="38">
      <c r="A38" t="str">
        <v>07/08/2025</v>
      </c>
      <c r="B38" s="1">
        <v>19833.45</v>
      </c>
      <c r="C38" t="str">
        <v>Deposit</v>
      </c>
    </row>
    <row r="39">
      <c r="A39" t="str">
        <v>07/08/2025</v>
      </c>
      <c r="B39" s="1">
        <v>81.5</v>
      </c>
      <c r="C39" t="str">
        <v>Deposit</v>
      </c>
    </row>
    <row r="40">
      <c r="A40" t="str">
        <v>07/04/2025</v>
      </c>
      <c r="B40" s="1">
        <v>717</v>
      </c>
      <c r="C40" t="str">
        <v>Sunshine</v>
      </c>
    </row>
    <row r="41">
      <c r="A41" t="str">
        <v>07/04/2025</v>
      </c>
      <c r="B41" s="1">
        <v>2700.27</v>
      </c>
      <c r="C41" t="str">
        <v>CC</v>
      </c>
    </row>
    <row r="42">
      <c r="A42" t="str">
        <v>07/03/2025</v>
      </c>
      <c r="B42" s="1">
        <v>5280</v>
      </c>
      <c r="C42" t="str">
        <v>UHC</v>
      </c>
    </row>
    <row r="43">
      <c r="A43" t="str">
        <v>07/01/2025</v>
      </c>
      <c r="B43" s="1">
        <v>4400</v>
      </c>
      <c r="C43" t="str">
        <v>UHC</v>
      </c>
    </row>
    <row r="44">
      <c r="A44" t="str">
        <v>07/01/2025</v>
      </c>
      <c r="B44" s="1">
        <v>6587.97</v>
      </c>
      <c r="C44" t="str">
        <v>Humana</v>
      </c>
    </row>
    <row r="45">
      <c r="A45" t="str">
        <v>07/01/2025</v>
      </c>
      <c r="B45" s="1">
        <v>7056.9</v>
      </c>
      <c r="C45" t="str">
        <v>UHC</v>
      </c>
    </row>
    <row r="46">
      <c r="A46" t="str">
        <v>07/01/2025</v>
      </c>
      <c r="B46" s="1">
        <v>1639.05</v>
      </c>
      <c r="C46" t="str">
        <v>UHC</v>
      </c>
    </row>
    <row r="47">
      <c r="A47" t="str">
        <v>07/01/2025</v>
      </c>
      <c r="B47" s="1">
        <v>92666.42</v>
      </c>
      <c r="C47" t="str">
        <v>UHC</v>
      </c>
    </row>
    <row r="48">
      <c r="A48" t="str">
        <v>07/01/2025</v>
      </c>
      <c r="B48" s="1">
        <v>39269.09</v>
      </c>
      <c r="C48" t="str">
        <v>UHC</v>
      </c>
    </row>
    <row r="49">
      <c r="A49" t="str">
        <v>07/01/2025</v>
      </c>
      <c r="B49" s="1">
        <v>25715.2</v>
      </c>
      <c r="C49" t="str">
        <v>Sunshine</v>
      </c>
    </row>
    <row r="50">
      <c r="A50" t="str">
        <v>07/02/2025</v>
      </c>
      <c r="B50" s="1">
        <v>2304.5</v>
      </c>
      <c r="C50" t="str">
        <v>Deposit</v>
      </c>
    </row>
    <row r="51">
      <c r="A51" t="str">
        <v>07/01/2025</v>
      </c>
      <c r="B51" s="1">
        <v>2581.65</v>
      </c>
      <c r="C51" t="str">
        <v>Humana</v>
      </c>
    </row>
    <row r="52">
      <c r="A52" t="str">
        <v>07/01/2025</v>
      </c>
      <c r="B52" s="1">
        <v>13927.48</v>
      </c>
      <c r="C52" t="str">
        <v>Humana</v>
      </c>
    </row>
    <row r="53">
      <c r="A53" t="str">
        <v>07/02/2025</v>
      </c>
      <c r="B53" s="1">
        <v>1961.37</v>
      </c>
      <c r="C53" t="str">
        <v>MCD</v>
      </c>
    </row>
    <row r="54">
      <c r="A54" t="str">
        <v>07/17/2025</v>
      </c>
      <c r="B54" s="1">
        <v>14147.18</v>
      </c>
      <c r="C54" t="str">
        <v>Hospice</v>
      </c>
    </row>
    <row r="55">
      <c r="A55" t="str">
        <v>07/18/2025</v>
      </c>
      <c r="B55" s="1">
        <v>7894.75</v>
      </c>
      <c r="C55" t="str">
        <v>Hospice</v>
      </c>
    </row>
    <row r="56">
      <c r="A56" t="str">
        <v>07/18/2025</v>
      </c>
      <c r="B56" s="1">
        <v>26278.65</v>
      </c>
      <c r="C56" t="str">
        <v>CC</v>
      </c>
    </row>
    <row r="57">
      <c r="A57" t="str">
        <v>07/08/2025</v>
      </c>
      <c r="B57" s="1">
        <v>12621.4</v>
      </c>
      <c r="C57" t="str">
        <v>CC</v>
      </c>
    </row>
    <row r="58">
      <c r="A58" t="str">
        <v>07/08/2025</v>
      </c>
      <c r="B58" s="1">
        <v>621</v>
      </c>
      <c r="C58" t="str">
        <v>CC</v>
      </c>
    </row>
    <row r="59">
      <c r="A59" t="str">
        <v>07/08/2025</v>
      </c>
      <c r="B59" s="1">
        <v>4488</v>
      </c>
      <c r="C59" t="str">
        <v>CC</v>
      </c>
    </row>
    <row r="60">
      <c r="A60" t="str">
        <v>07/01/2025</v>
      </c>
      <c r="B60" s="1">
        <v>4217.54</v>
      </c>
      <c r="C60" t="str">
        <v>Wellmed CC</v>
      </c>
    </row>
    <row r="61">
      <c r="A61" t="str">
        <v>07/01/2025</v>
      </c>
      <c r="B61" s="1">
        <v>11286.17</v>
      </c>
      <c r="C61" t="str">
        <v>Wellmed CC</v>
      </c>
    </row>
    <row r="62">
      <c r="A62" t="str">
        <v>07/01/2025</v>
      </c>
      <c r="B62" s="1">
        <v>345</v>
      </c>
      <c r="C62" t="str">
        <v>CC</v>
      </c>
    </row>
    <row r="63">
      <c r="A63" t="str">
        <v>07/14/2025</v>
      </c>
      <c r="B63" s="1">
        <v>-359.69</v>
      </c>
      <c r="C63" t="str">
        <v>Sunshine Really$0.00</v>
      </c>
    </row>
    <row r="64">
      <c r="A64" t="str">
        <v>07/28/2025</v>
      </c>
      <c r="B64" s="1">
        <v>1771.9</v>
      </c>
      <c r="C64" t="str">
        <v>CC</v>
      </c>
    </row>
    <row r="65">
      <c r="A65" t="str">
        <v>07/28/2025</v>
      </c>
      <c r="B65" s="1">
        <v>27078</v>
      </c>
      <c r="C65" t="str">
        <v>CC</v>
      </c>
    </row>
    <row r="66">
      <c r="A66" t="str">
        <v>07/30/2025</v>
      </c>
      <c r="B66" s="1">
        <v>226.16</v>
      </c>
      <c r="C66" t="str">
        <v>CC</v>
      </c>
    </row>
    <row r="67">
      <c r="A67" t="str">
        <v>07/30/2025</v>
      </c>
      <c r="B67" s="1">
        <v>15300.56</v>
      </c>
      <c r="C67" t="str">
        <v>UHC</v>
      </c>
    </row>
    <row r="68">
      <c r="A68" t="str">
        <v>07/21/2025</v>
      </c>
      <c r="B68" s="1">
        <v>58492.58</v>
      </c>
      <c r="C68" t="str">
        <v>Deposit</v>
      </c>
    </row>
    <row r="69">
      <c r="A69" t="str">
        <v>07/31/2025</v>
      </c>
      <c r="B69" s="1">
        <v>76407.62</v>
      </c>
      <c r="C69" t="str">
        <v>UHC</v>
      </c>
    </row>
    <row r="70">
      <c r="A70" t="str">
        <v>07/18/2025</v>
      </c>
      <c r="B70" s="1">
        <v>9838.45</v>
      </c>
      <c r="C70" t="str">
        <v>Optum</v>
      </c>
    </row>
    <row r="71">
      <c r="A71" t="str">
        <v>07/14/2025</v>
      </c>
      <c r="B71" s="1">
        <v>12163.67</v>
      </c>
      <c r="C71" t="str">
        <v>MCR</v>
      </c>
    </row>
    <row r="72">
      <c r="A72" t="str">
        <v>07/11/2025</v>
      </c>
      <c r="B72" s="1">
        <v>594.72</v>
      </c>
      <c r="C72" t="str">
        <v>MCR</v>
      </c>
    </row>
    <row r="73">
      <c r="A73" t="str">
        <v>07/07/2025</v>
      </c>
      <c r="B73" s="1">
        <v>11342.1</v>
      </c>
      <c r="C73" t="str">
        <v>MCR</v>
      </c>
    </row>
    <row r="74">
      <c r="A74" t="str">
        <v>07/01/2025</v>
      </c>
      <c r="B74" s="1">
        <v>15148.19</v>
      </c>
      <c r="C74" t="str">
        <v>MCR</v>
      </c>
    </row>
    <row r="75">
      <c r="A75" t="str">
        <v>07/31/2025</v>
      </c>
      <c r="B75" s="1">
        <v>10120</v>
      </c>
      <c r="C75" t="str">
        <v>UHC</v>
      </c>
    </row>
    <row r="76">
      <c r="A76" t="str">
        <v>07/25/2025</v>
      </c>
      <c r="B76" s="1">
        <v>174292.51</v>
      </c>
      <c r="C76" t="str">
        <v>FLCC</v>
      </c>
    </row>
    <row r="77">
      <c r="A77" t="str">
        <v>07/25/2025</v>
      </c>
      <c r="B77" s="1">
        <v>10013</v>
      </c>
      <c r="C77" t="str">
        <v>UHC</v>
      </c>
    </row>
    <row r="78">
      <c r="A78" t="str">
        <v>07/26/2025</v>
      </c>
      <c r="B78" s="1">
        <v>18855.97</v>
      </c>
      <c r="C78" t="str">
        <v>Humana</v>
      </c>
    </row>
    <row r="79">
      <c r="A79" t="str">
        <v>07/25/2025</v>
      </c>
      <c r="B79" s="1">
        <v>87765.53</v>
      </c>
      <c r="C79" t="str">
        <v>Humana</v>
      </c>
    </row>
    <row r="80">
      <c r="A80" t="str">
        <v>07/29/2025</v>
      </c>
      <c r="B80" s="1">
        <v>573</v>
      </c>
      <c r="C80" t="str">
        <v>Deposit</v>
      </c>
    </row>
    <row r="81">
      <c r="A81" t="str">
        <v>07/24/2025</v>
      </c>
      <c r="B81" s="1">
        <v>614</v>
      </c>
      <c r="C81" t="str">
        <v>CC</v>
      </c>
    </row>
    <row r="82">
      <c r="A82" t="str">
        <v>07/24/2025</v>
      </c>
      <c r="B82" s="1">
        <v>677.08</v>
      </c>
      <c r="C82" t="str">
        <v>UHC</v>
      </c>
    </row>
    <row r="83">
      <c r="A83" t="str">
        <v>07/24/2025</v>
      </c>
      <c r="B83" s="1">
        <v>6.71</v>
      </c>
      <c r="C83" t="str">
        <v>UHC</v>
      </c>
    </row>
  </sheetData>
  <ignoredErrors>
    <ignoredError numberStoredAsText="1" sqref="A1:C8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80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12.83203125" customWidth="1"/>
    <col min="5" max="5" width="12.83203125" customWidth="1"/>
    <col min="6" max="6" width="25.83203125" customWidth="1"/>
    <col min="7" max="7" width="12.83203125" customWidth="1"/>
    <col min="8" max="8" width="12.83203125" customWidth="1"/>
    <col min="9" max="9" width="25.83203125" customWidth="1"/>
  </cols>
  <sheetData>
    <row r="1">
      <c r="A1" t="str">
        <v>Match Group</v>
      </c>
      <c r="B1" t="str">
        <v>Match Type</v>
      </c>
      <c r="C1" t="str">
        <v>Bank Account</v>
      </c>
      <c r="D1" t="str">
        <v>Bank Date</v>
      </c>
      <c r="E1" t="str">
        <v>Bank Amount</v>
      </c>
      <c r="F1" t="str">
        <v>Bank Description</v>
      </c>
      <c r="G1" t="str">
        <v>Journal Date</v>
      </c>
      <c r="H1" t="str">
        <v>Journal Amount</v>
      </c>
      <c r="I1" t="str">
        <v>Journal Description</v>
      </c>
    </row>
    <row r="2">
      <c r="A2" t="str">
        <v>MG0001</v>
      </c>
      <c r="B2" t="str">
        <v>Exact</v>
      </c>
      <c r="C2" t="str">
        <v>RFMS Account # ****6932</v>
      </c>
      <c r="D2" t="str">
        <v>07/23/2025</v>
      </c>
      <c r="E2" s="1">
        <v>225</v>
      </c>
      <c r="F2" t="str">
        <v>NATL DATACARE CRT#20723 DIRECT DEPOSIT</v>
      </c>
      <c r="G2" t="str">
        <v>07/23/2025</v>
      </c>
      <c r="H2" s="1">
        <v>225</v>
      </c>
      <c r="I2" t="str">
        <v>RFMS</v>
      </c>
    </row>
    <row r="3">
      <c r="A3" t="str">
        <v>MG0002</v>
      </c>
      <c r="B3" t="str">
        <v>Exact</v>
      </c>
      <c r="C3" t="str">
        <v>RFMS Account # ****6932</v>
      </c>
      <c r="D3" t="str">
        <v>07/08/2025</v>
      </c>
      <c r="E3" s="1">
        <v>1051</v>
      </c>
      <c r="F3" t="str">
        <v>NATL DATACARE CRT#3A0298 DEP RECORD #7725D1</v>
      </c>
      <c r="G3" t="str">
        <v>07/08/2025</v>
      </c>
      <c r="H3" s="1">
        <v>1051</v>
      </c>
      <c r="I3" t="str">
        <v>RFMS</v>
      </c>
    </row>
    <row r="4">
      <c r="A4" t="str">
        <v>MG0003</v>
      </c>
      <c r="B4" t="str">
        <v>Exact</v>
      </c>
      <c r="C4" t="str">
        <v>MONOGRAM CHECKING 1503764063</v>
      </c>
      <c r="D4" t="str">
        <v>07/08/2025</v>
      </c>
      <c r="E4" s="1">
        <v>10800</v>
      </c>
      <c r="F4" t="str">
        <v>ACH DEPOSIT HUMANA INC US LE HCCLAIMPMT COASTAL CENTER OPERATI</v>
      </c>
      <c r="G4" t="str">
        <v>07/08/2025</v>
      </c>
      <c r="H4" s="1">
        <v>10800</v>
      </c>
      <c r="I4" t="str">
        <v>Careplus</v>
      </c>
    </row>
    <row r="5">
      <c r="A5" t="str">
        <v>MG0004</v>
      </c>
      <c r="B5" t="str">
        <v>Exact</v>
      </c>
      <c r="C5" t="str">
        <v>GOVERNMENT RECEIVABLES XXXXXXXX3831</v>
      </c>
      <c r="D5" t="str">
        <v>07/23/2025</v>
      </c>
      <c r="E5" s="1">
        <v>209876.71</v>
      </c>
      <c r="F5" t="str">
        <v>FIRST COAST SERV HCCLAIMPMT 250723 CCD 105565</v>
      </c>
      <c r="G5" t="str">
        <v>07/22/2025</v>
      </c>
      <c r="H5" s="1">
        <v>209876.71</v>
      </c>
      <c r="I5" t="str">
        <v>MCR</v>
      </c>
    </row>
    <row r="6">
      <c r="A6" t="str">
        <v>MG0005</v>
      </c>
      <c r="B6" t="str">
        <v>Exact</v>
      </c>
      <c r="C6" t="str">
        <v>GOVERNMENT RECEIVABLES XXXXXXXX3831</v>
      </c>
      <c r="D6" t="str">
        <v>07/14/2025</v>
      </c>
      <c r="E6" s="1">
        <v>594.72</v>
      </c>
      <c r="F6" t="str">
        <v>FIRST COAST SERV HCCLAIMPMT 250714 CCD 105565</v>
      </c>
      <c r="G6" t="str">
        <v>07/11/2025</v>
      </c>
      <c r="H6" s="1">
        <v>594.72</v>
      </c>
      <c r="I6" t="str">
        <v>MCR</v>
      </c>
    </row>
    <row r="7">
      <c r="A7" t="str">
        <v>MG0006</v>
      </c>
      <c r="B7" t="str">
        <v>Exact</v>
      </c>
      <c r="C7" t="str">
        <v>NON-GOVERNMENT RECEIVABLE XXXXXXXX3858</v>
      </c>
      <c r="D7" t="str">
        <v>07/29/2025</v>
      </c>
      <c r="E7" s="1">
        <v>174292.51</v>
      </c>
      <c r="F7" t="str">
        <v>FLORIDA COMMUNI HCCLAIMPMT CCD</v>
      </c>
      <c r="G7" t="str">
        <v>07/25/2025</v>
      </c>
      <c r="H7" s="1">
        <v>174292.51</v>
      </c>
      <c r="I7" t="str">
        <v>FLCC</v>
      </c>
    </row>
    <row r="8">
      <c r="A8" t="str">
        <v>MG0007</v>
      </c>
      <c r="B8" t="str">
        <v>Exact</v>
      </c>
      <c r="C8" t="str">
        <v>NON-GOVERNMENT RECEIVABLE XXXXXXXX3858</v>
      </c>
      <c r="D8" t="str">
        <v>07/29/2025</v>
      </c>
      <c r="E8" s="1">
        <v>573</v>
      </c>
      <c r="F8" t="str">
        <v>REMOTE DEPOSIT REF#4335131</v>
      </c>
      <c r="G8" t="str">
        <v>07/29/2025</v>
      </c>
      <c r="H8" s="1">
        <v>573</v>
      </c>
      <c r="I8" t="str">
        <v>Deposit</v>
      </c>
    </row>
    <row r="9">
      <c r="A9" t="str">
        <v>MG0008</v>
      </c>
      <c r="B9" t="str">
        <v>Exact</v>
      </c>
      <c r="C9" t="str">
        <v>NON-GOVERNMENT RECEIVABLE XXXXXXXX3858</v>
      </c>
      <c r="D9" t="str">
        <v>07/28/2025</v>
      </c>
      <c r="E9" s="1">
        <v>4612</v>
      </c>
      <c r="F9" t="str">
        <v>REMOTE DEPOSIT REF#4335131</v>
      </c>
      <c r="G9" t="str">
        <v>07/28/2025</v>
      </c>
      <c r="H9" s="1">
        <v>4612</v>
      </c>
      <c r="I9" t="str">
        <v>Deposit</v>
      </c>
    </row>
    <row r="10">
      <c r="A10" t="str">
        <v>MG0009</v>
      </c>
      <c r="B10" t="str">
        <v>Exact</v>
      </c>
      <c r="C10" t="str">
        <v>NON-GOVERNMENT RECEIVABLE XXXXXXXX3858</v>
      </c>
      <c r="D10" t="str">
        <v>07/22/2025</v>
      </c>
      <c r="E10" s="1">
        <v>7751.5</v>
      </c>
      <c r="F10" t="str">
        <v>AARP Supplementa HCCLAIMPMT CCD</v>
      </c>
      <c r="G10" t="str">
        <v>07/22/2025</v>
      </c>
      <c r="H10" s="1">
        <v>7751.5</v>
      </c>
      <c r="I10" t="str">
        <v>AARP</v>
      </c>
    </row>
    <row r="11">
      <c r="A11" t="str">
        <v>MG0010</v>
      </c>
      <c r="B11" t="str">
        <v>Exact</v>
      </c>
      <c r="C11" t="str">
        <v>NON-GOVERNMENT RECEIVABLE XXXXXXXX3858</v>
      </c>
      <c r="D11" t="str">
        <v>07/21/2025</v>
      </c>
      <c r="E11" s="1">
        <v>58492.58</v>
      </c>
      <c r="F11" t="str">
        <v>REMOTE DEPOSIT REF#4335131</v>
      </c>
      <c r="G11" t="str">
        <v>07/21/2025</v>
      </c>
      <c r="H11" s="1">
        <v>58492.58</v>
      </c>
      <c r="I11" t="str">
        <v>Deposit</v>
      </c>
    </row>
    <row r="12">
      <c r="A12" t="str">
        <v>MG0011</v>
      </c>
      <c r="B12" t="str">
        <v>Exact</v>
      </c>
      <c r="C12" t="str">
        <v>NON-GOVERNMENT RECEIVABLE XXXXXXXX3858</v>
      </c>
      <c r="D12" t="str">
        <v>07/17/2025</v>
      </c>
      <c r="E12" s="1">
        <v>2013</v>
      </c>
      <c r="F12" t="str">
        <v>REMOTE DEPOSIT REF#4335131</v>
      </c>
      <c r="G12" t="str">
        <v>07/17/2025</v>
      </c>
      <c r="H12" s="1">
        <v>2013</v>
      </c>
      <c r="I12" t="str">
        <v>Deposit</v>
      </c>
    </row>
    <row r="13">
      <c r="A13" t="str">
        <v>MG0012</v>
      </c>
      <c r="B13" t="str">
        <v>Exact</v>
      </c>
      <c r="C13" t="str">
        <v>NON-GOVERNMENT RECEIVABLE XXXXXXXX3858</v>
      </c>
      <c r="D13" t="str">
        <v>07/15/2025</v>
      </c>
      <c r="E13" s="1">
        <v>5136.16</v>
      </c>
      <c r="F13" t="str">
        <v>REMOTE DEPOSIT REF#4335131</v>
      </c>
      <c r="G13" t="str">
        <v>07/15/2025</v>
      </c>
      <c r="H13" s="1">
        <v>5136.16</v>
      </c>
      <c r="I13" t="str">
        <v>Deposit</v>
      </c>
    </row>
    <row r="14">
      <c r="A14" t="str">
        <v>MG0013</v>
      </c>
      <c r="B14" t="str">
        <v>Exact</v>
      </c>
      <c r="C14" t="str">
        <v>NON-GOVERNMENT RECEIVABLE XXXXXXXX3858</v>
      </c>
      <c r="D14" t="str">
        <v>07/09/2025</v>
      </c>
      <c r="E14" s="1">
        <v>86.8</v>
      </c>
      <c r="F14" t="str">
        <v>BANKCARD BTOT DEP 250708 CCD</v>
      </c>
      <c r="G14" t="str">
        <v>07/07/2025</v>
      </c>
      <c r="H14" s="1">
        <v>86.8</v>
      </c>
      <c r="I14" t="str">
        <v>CC</v>
      </c>
    </row>
    <row r="15">
      <c r="A15" t="str">
        <v>MG0014</v>
      </c>
      <c r="B15" t="str">
        <v>Exact</v>
      </c>
      <c r="C15" t="str">
        <v>NON-GOVERNMENT RECEIVABLE XXXXXXXX3858</v>
      </c>
      <c r="D15" t="str">
        <v>07/08/2025</v>
      </c>
      <c r="E15" s="1">
        <v>81.5</v>
      </c>
      <c r="F15" t="str">
        <v>REMOTE DEPOSIT REF#4335131</v>
      </c>
      <c r="G15" t="str">
        <v>07/08/2025</v>
      </c>
      <c r="H15" s="1">
        <v>81.5</v>
      </c>
      <c r="I15" t="str">
        <v>Deposit</v>
      </c>
    </row>
    <row r="16">
      <c r="A16" t="str">
        <v>MG0015</v>
      </c>
      <c r="B16" t="str">
        <v>Exact</v>
      </c>
      <c r="C16" t="str">
        <v>NON-GOVERNMENT RECEIVABLE XXXXXXXX3858</v>
      </c>
      <c r="D16" t="str">
        <v>07/03/2025</v>
      </c>
      <c r="E16" s="1">
        <v>4400</v>
      </c>
      <c r="F16" t="str">
        <v>UNITEDHEALTHCARE HCCLAIMPMT CCD</v>
      </c>
      <c r="G16" t="str">
        <v>07/01/2025</v>
      </c>
      <c r="H16" s="1">
        <v>4400</v>
      </c>
      <c r="I16" t="str">
        <v>UHC</v>
      </c>
    </row>
    <row r="17">
      <c r="A17" t="str">
        <v>MG0016</v>
      </c>
      <c r="B17" t="str">
        <v>Exact</v>
      </c>
      <c r="C17" t="str">
        <v>NON-GOVERNMENT RECEIVABLE XXXXXXXX3858</v>
      </c>
      <c r="D17" t="str">
        <v>07/02/2025</v>
      </c>
      <c r="E17" s="1">
        <v>92666.42</v>
      </c>
      <c r="F17" t="str">
        <v>UHC Community Pl HCCLAIMPMT CCD</v>
      </c>
      <c r="G17" t="str">
        <v>07/01/2025</v>
      </c>
      <c r="H17" s="1">
        <v>92666.42</v>
      </c>
      <c r="I17" t="str">
        <v>UHC</v>
      </c>
    </row>
    <row r="18">
      <c r="A18" t="str">
        <v>MG0017</v>
      </c>
      <c r="B18" t="str">
        <v>Exact</v>
      </c>
      <c r="C18" t="str">
        <v>NON-GOVERNMENT RECEIVABLE XXXXXXXX3858</v>
      </c>
      <c r="D18" t="str">
        <v>07/01/2025</v>
      </c>
      <c r="E18" s="1">
        <v>2581.65</v>
      </c>
      <c r="F18" t="str">
        <v>HMP HCCLAIMPMT 250630 CCD</v>
      </c>
      <c r="G18" t="str">
        <v>07/01/2025</v>
      </c>
      <c r="H18" s="1">
        <v>2581.65</v>
      </c>
      <c r="I18" t="str">
        <v>Humana</v>
      </c>
    </row>
    <row r="19">
      <c r="A19" t="str">
        <v>MG0018</v>
      </c>
      <c r="B19" t="str">
        <v>Many-to-One</v>
      </c>
      <c r="C19" t="str">
        <v>NON-GOVERNMENT RECEIVABLE XXXXXXXX3858</v>
      </c>
      <c r="D19" t="str">
        <v>07/10/2025</v>
      </c>
      <c r="E19" s="1">
        <v>17730.4</v>
      </c>
      <c r="F19" t="str">
        <v>BANKCARD BTOT DEP 250709 CCD</v>
      </c>
      <c r="G19" t="str">
        <v>07/08/2025</v>
      </c>
      <c r="H19" s="1">
        <v>12621.4</v>
      </c>
      <c r="I19" t="str">
        <v>CC</v>
      </c>
    </row>
    <row r="20">
      <c r="A20" t="str">
        <v>MG0018</v>
      </c>
      <c r="B20" t="str">
        <v>Many-to-One</v>
      </c>
      <c r="C20" t="str">
        <v/>
      </c>
      <c r="D20" t="str">
        <v/>
      </c>
      <c r="E20" t="str">
        <v/>
      </c>
      <c r="F20" t="str">
        <v/>
      </c>
      <c r="G20" t="str">
        <v>07/08/2025</v>
      </c>
      <c r="H20" s="1">
        <v>621</v>
      </c>
      <c r="I20" t="str">
        <v>CC</v>
      </c>
    </row>
    <row r="21">
      <c r="A21" t="str">
        <v>MG0018</v>
      </c>
      <c r="B21" t="str">
        <v>Many-to-One</v>
      </c>
      <c r="C21" t="str">
        <v/>
      </c>
      <c r="D21" t="str">
        <v/>
      </c>
      <c r="E21" t="str">
        <v/>
      </c>
      <c r="F21" t="str">
        <v/>
      </c>
      <c r="G21" t="str">
        <v>07/08/2025</v>
      </c>
      <c r="H21" s="1">
        <v>4488</v>
      </c>
      <c r="I21" t="str">
        <v>CC</v>
      </c>
    </row>
    <row r="22">
      <c r="A22" t="str">
        <v>MG0018 Total</v>
      </c>
      <c r="B22" t="str">
        <v>Many-to-One</v>
      </c>
      <c r="C22" t="str">
        <v/>
      </c>
      <c r="D22" t="str">
        <v/>
      </c>
      <c r="E22" s="1">
        <v>17730.4</v>
      </c>
      <c r="F22" t="str">
        <v/>
      </c>
      <c r="G22" t="str">
        <v/>
      </c>
      <c r="H22" s="1">
        <v>17730.4</v>
      </c>
      <c r="I22" t="str">
        <v/>
      </c>
    </row>
    <row r="23">
      <c r="A23" t="str">
        <v>MG0019</v>
      </c>
      <c r="B23" t="str">
        <v>Exact</v>
      </c>
      <c r="C23" t="str">
        <v>RFMS Account # ****6932</v>
      </c>
      <c r="D23" t="str">
        <v>07/22/2025</v>
      </c>
      <c r="E23" s="1">
        <v>181</v>
      </c>
      <c r="F23" t="str">
        <v>NATL DATACARE CRT#8A963C WDL RECORD #72125W1</v>
      </c>
      <c r="G23" t="str">
        <v>07/22/2025</v>
      </c>
      <c r="H23" s="1">
        <v>181</v>
      </c>
      <c r="I23" t="str">
        <v>RFMS</v>
      </c>
    </row>
    <row r="24">
      <c r="A24" t="str">
        <v>MG0020</v>
      </c>
      <c r="B24" t="str">
        <v>Exact</v>
      </c>
      <c r="C24" t="str">
        <v>RFMS Account # ****6932</v>
      </c>
      <c r="D24" t="str">
        <v>07/03/2025</v>
      </c>
      <c r="E24" s="1">
        <v>23145</v>
      </c>
      <c r="F24" t="str">
        <v>NATL DATACARE CRT#20703 DIRECT DEPOSIT</v>
      </c>
      <c r="G24" t="str">
        <v>07/03/2025</v>
      </c>
      <c r="H24" s="1">
        <v>23145</v>
      </c>
      <c r="I24" t="str">
        <v>RFMS</v>
      </c>
    </row>
    <row r="25">
      <c r="A25" t="str">
        <v>MG0021</v>
      </c>
      <c r="B25" t="str">
        <v>Exact</v>
      </c>
      <c r="C25" t="str">
        <v>MONOGRAM CHECKING 1503764063</v>
      </c>
      <c r="D25" t="str">
        <v>07/07/2025</v>
      </c>
      <c r="E25" s="1">
        <v>900</v>
      </c>
      <c r="F25" t="str">
        <v>ACH DEPOSIT HUMANA INC US LE HCCLAIMPMT COASTAL CENTER OPERATI</v>
      </c>
      <c r="G25" t="str">
        <v>07/07/2025</v>
      </c>
      <c r="H25" s="1">
        <v>900</v>
      </c>
      <c r="I25" t="str">
        <v>Careplus</v>
      </c>
    </row>
    <row r="26">
      <c r="A26" t="str">
        <v>MG0022</v>
      </c>
      <c r="B26" t="str">
        <v>Exact</v>
      </c>
      <c r="C26" t="str">
        <v>GOVERNMENT RECEIVABLES XXXXXXXX3831</v>
      </c>
      <c r="D26" t="str">
        <v>07/17/2025</v>
      </c>
      <c r="E26" s="1">
        <v>31207.22</v>
      </c>
      <c r="F26" t="str">
        <v>ACH MEDICAID HCCLAIMPMT 250715 CCD</v>
      </c>
      <c r="G26" t="str">
        <v>07/16/2025</v>
      </c>
      <c r="H26" s="1">
        <v>31207.22</v>
      </c>
      <c r="I26" t="str">
        <v>MCD</v>
      </c>
    </row>
    <row r="27">
      <c r="A27" t="str">
        <v>MG0023</v>
      </c>
      <c r="B27" t="str">
        <v>Exact</v>
      </c>
      <c r="C27" t="str">
        <v>GOVERNMENT RECEIVABLES XXXXXXXX3831</v>
      </c>
      <c r="D27" t="str">
        <v>07/08/2025</v>
      </c>
      <c r="E27" s="1">
        <v>11342.1</v>
      </c>
      <c r="F27" t="str">
        <v>FIRST COAST SERV HCCLAIMPMT 250708 CCD 105565</v>
      </c>
      <c r="G27" t="str">
        <v>07/07/2025</v>
      </c>
      <c r="H27" s="1">
        <v>11342.1</v>
      </c>
      <c r="I27" t="str">
        <v>MCR</v>
      </c>
    </row>
    <row r="28">
      <c r="A28" t="str">
        <v>MG0024</v>
      </c>
      <c r="B28" t="str">
        <v>Exact</v>
      </c>
      <c r="C28" t="str">
        <v>NON-GOVERNMENT RECEIVABLE XXXXXXXX3858</v>
      </c>
      <c r="D28" t="str">
        <v>07/29/2025</v>
      </c>
      <c r="E28" s="1">
        <v>10013</v>
      </c>
      <c r="F28" t="str">
        <v>UnitedHealthcare HCCLAIMPMT CCD</v>
      </c>
      <c r="G28" t="str">
        <v>07/25/2025</v>
      </c>
      <c r="H28" s="1">
        <v>10013</v>
      </c>
      <c r="I28" t="str">
        <v>UHC</v>
      </c>
    </row>
    <row r="29">
      <c r="A29" t="str">
        <v>MG0025</v>
      </c>
      <c r="B29" t="str">
        <v>Exact</v>
      </c>
      <c r="C29" t="str">
        <v>NON-GOVERNMENT RECEIVABLE XXXXXXXX3858</v>
      </c>
      <c r="D29" t="str">
        <v>07/28/2025</v>
      </c>
      <c r="E29" s="1">
        <v>614</v>
      </c>
      <c r="F29" t="str">
        <v>BANKCARD BTOT DEP 250725 CCD</v>
      </c>
      <c r="G29" t="str">
        <v>07/24/2025</v>
      </c>
      <c r="H29" s="1">
        <v>614</v>
      </c>
      <c r="I29" t="str">
        <v>CC</v>
      </c>
    </row>
    <row r="30">
      <c r="A30" t="str">
        <v>MG0026</v>
      </c>
      <c r="B30" t="str">
        <v>Exact</v>
      </c>
      <c r="C30" t="str">
        <v>NON-GOVERNMENT RECEIVABLE XXXXXXXX3858</v>
      </c>
      <c r="D30" t="str">
        <v>07/25/2025</v>
      </c>
      <c r="E30" s="1">
        <v>6.83</v>
      </c>
      <c r="F30" t="str">
        <v>HMP HCCLAIMPMT 250724 CCD</v>
      </c>
      <c r="G30" t="str">
        <v>07/22/2025</v>
      </c>
      <c r="H30" s="1">
        <v>6.83</v>
      </c>
      <c r="I30" t="str">
        <v>Humana</v>
      </c>
    </row>
    <row r="31">
      <c r="A31" t="str">
        <v>MG0027</v>
      </c>
      <c r="B31" t="str">
        <v>Exact</v>
      </c>
      <c r="C31" t="str">
        <v>NON-GOVERNMENT RECEIVABLE XXXXXXXX3858</v>
      </c>
      <c r="D31" t="str">
        <v>07/22/2025</v>
      </c>
      <c r="E31" s="1">
        <v>16531.5</v>
      </c>
      <c r="F31" t="str">
        <v>UnitedHealthcare HCCLAIMPMT CCD</v>
      </c>
      <c r="G31" t="str">
        <v>07/18/2025</v>
      </c>
      <c r="H31" s="1">
        <v>16531.5</v>
      </c>
      <c r="I31" t="str">
        <v>UHC</v>
      </c>
    </row>
    <row r="32">
      <c r="A32" t="str">
        <v>MG0028</v>
      </c>
      <c r="B32" t="str">
        <v>Exact</v>
      </c>
      <c r="C32" t="str">
        <v>NON-GOVERNMENT RECEIVABLE XXXXXXXX3858</v>
      </c>
      <c r="D32" t="str">
        <v>07/18/2025</v>
      </c>
      <c r="E32" s="1">
        <v>9838.45</v>
      </c>
      <c r="F32" t="str">
        <v>Optum VA CCN Reg HCCLAIMPMT CCD</v>
      </c>
      <c r="G32" t="str">
        <v>07/18/2025</v>
      </c>
      <c r="H32" s="1">
        <v>9838.45</v>
      </c>
      <c r="I32" t="str">
        <v>Optum</v>
      </c>
    </row>
    <row r="33">
      <c r="A33" t="str">
        <v>MG0029</v>
      </c>
      <c r="B33" t="str">
        <v>Exact</v>
      </c>
      <c r="C33" t="str">
        <v>NON-GOVERNMENT RECEIVABLE XXXXXXXX3858</v>
      </c>
      <c r="D33" t="str">
        <v>07/16/2025</v>
      </c>
      <c r="E33" s="1">
        <v>2244</v>
      </c>
      <c r="F33" t="str">
        <v>BANKCARD BTOT DEP 250715 CCD</v>
      </c>
      <c r="G33" t="str">
        <v>07/14/2025</v>
      </c>
      <c r="H33" s="1">
        <v>2244</v>
      </c>
      <c r="I33" t="str">
        <v>CC</v>
      </c>
    </row>
    <row r="34">
      <c r="A34" t="str">
        <v>MG0030</v>
      </c>
      <c r="B34" t="str">
        <v>Exact</v>
      </c>
      <c r="C34" t="str">
        <v>NON-GOVERNMENT RECEIVABLE XXXXXXXX3858</v>
      </c>
      <c r="D34" t="str">
        <v>07/14/2025</v>
      </c>
      <c r="E34" s="1">
        <v>9677.92</v>
      </c>
      <c r="F34" t="str">
        <v>Sunshine State H HCCLAIMPMT 250711 CCD</v>
      </c>
      <c r="G34" t="str">
        <v>07/11/2025</v>
      </c>
      <c r="H34" s="1">
        <v>9677.92</v>
      </c>
      <c r="I34" t="str">
        <v>Sunshine</v>
      </c>
    </row>
    <row r="35">
      <c r="A35" t="str">
        <v>MG0031</v>
      </c>
      <c r="B35" t="str">
        <v>Exact</v>
      </c>
      <c r="C35" t="str">
        <v>NON-GOVERNMENT RECEIVABLE XXXXXXXX3858</v>
      </c>
      <c r="D35" t="str">
        <v>07/09/2025</v>
      </c>
      <c r="E35" s="1">
        <v>16348</v>
      </c>
      <c r="F35" t="str">
        <v>UnitedHealthcare HCCLAIMPMT CCD</v>
      </c>
      <c r="G35" t="str">
        <v>07/09/2025</v>
      </c>
      <c r="H35" s="1">
        <v>16348</v>
      </c>
      <c r="I35" t="str">
        <v>UHC</v>
      </c>
    </row>
    <row r="36">
      <c r="A36" t="str">
        <v>MG0032</v>
      </c>
      <c r="B36" t="str">
        <v>Exact</v>
      </c>
      <c r="C36" t="str">
        <v>NON-GOVERNMENT RECEIVABLE XXXXXXXX3858</v>
      </c>
      <c r="D36" t="str">
        <v>07/07/2025</v>
      </c>
      <c r="E36" s="1">
        <v>717</v>
      </c>
      <c r="F36" t="str">
        <v>Sunshine State H HCCLAIMPMT 250704 CCD</v>
      </c>
      <c r="G36" t="str">
        <v>07/04/2025</v>
      </c>
      <c r="H36" s="1">
        <v>717</v>
      </c>
      <c r="I36" t="str">
        <v>Sunshine</v>
      </c>
    </row>
    <row r="37">
      <c r="A37" t="str">
        <v>MG0033</v>
      </c>
      <c r="B37" t="str">
        <v>Exact</v>
      </c>
      <c r="C37" t="str">
        <v>NON-GOVERNMENT RECEIVABLE XXXXXXXX3858</v>
      </c>
      <c r="D37" t="str">
        <v>07/03/2025</v>
      </c>
      <c r="E37" s="1">
        <v>6587.97</v>
      </c>
      <c r="F37" t="str">
        <v>HMP HCCLAIMPMT 250702 CCD</v>
      </c>
      <c r="G37" t="str">
        <v>07/01/2025</v>
      </c>
      <c r="H37" s="1">
        <v>6587.97</v>
      </c>
      <c r="I37" t="str">
        <v>Humana</v>
      </c>
    </row>
    <row r="38">
      <c r="A38" t="str">
        <v>MG0034</v>
      </c>
      <c r="B38" t="str">
        <v>Exact</v>
      </c>
      <c r="C38" t="str">
        <v>NON-GOVERNMENT RECEIVABLE XXXXXXXX3858</v>
      </c>
      <c r="D38" t="str">
        <v>07/02/2025</v>
      </c>
      <c r="E38" s="1">
        <v>39269.09</v>
      </c>
      <c r="F38" t="str">
        <v>UHC Community Pl HCCLAIMPMT CCD</v>
      </c>
      <c r="G38" t="str">
        <v>07/01/2025</v>
      </c>
      <c r="H38" s="1">
        <v>39269.09</v>
      </c>
      <c r="I38" t="str">
        <v>UHC</v>
      </c>
    </row>
    <row r="39">
      <c r="A39" t="str">
        <v>MG0035</v>
      </c>
      <c r="B39" t="str">
        <v>Exact</v>
      </c>
      <c r="C39" t="str">
        <v>NON-GOVERNMENT RECEIVABLE XXXXXXXX3858</v>
      </c>
      <c r="D39" t="str">
        <v>07/01/2025</v>
      </c>
      <c r="E39" s="1">
        <v>13927.48</v>
      </c>
      <c r="F39" t="str">
        <v>HMP HCCLAIMPMT 250630 CCD</v>
      </c>
      <c r="G39" t="str">
        <v>07/01/2025</v>
      </c>
      <c r="H39" s="1">
        <v>13927.48</v>
      </c>
      <c r="I39" t="str">
        <v>Humana</v>
      </c>
    </row>
    <row r="40">
      <c r="A40" t="str">
        <v>MG0036</v>
      </c>
      <c r="B40" t="str">
        <v>Many-to-One</v>
      </c>
      <c r="C40" t="str">
        <v>NON-GOVERNMENT RECEIVABLE XXXXXXXX3858</v>
      </c>
      <c r="D40" t="str">
        <v>07/02/2025</v>
      </c>
      <c r="E40" s="1">
        <v>15848.71</v>
      </c>
      <c r="F40" t="str">
        <v>BANKCARD BTOT DEP 250701 CCD</v>
      </c>
      <c r="G40" t="str">
        <v>07/01/2025</v>
      </c>
      <c r="H40" s="1">
        <v>4217.54</v>
      </c>
      <c r="I40" t="str">
        <v>Wellmed CC</v>
      </c>
    </row>
    <row r="41">
      <c r="A41" t="str">
        <v>MG0036</v>
      </c>
      <c r="B41" t="str">
        <v>Many-to-One</v>
      </c>
      <c r="C41" t="str">
        <v/>
      </c>
      <c r="D41" t="str">
        <v/>
      </c>
      <c r="E41" t="str">
        <v/>
      </c>
      <c r="F41" t="str">
        <v/>
      </c>
      <c r="G41" t="str">
        <v>07/01/2025</v>
      </c>
      <c r="H41" s="1">
        <v>11286.17</v>
      </c>
      <c r="I41" t="str">
        <v>Wellmed CC</v>
      </c>
    </row>
    <row r="42">
      <c r="A42" t="str">
        <v>MG0036</v>
      </c>
      <c r="B42" t="str">
        <v>Many-to-One</v>
      </c>
      <c r="C42" t="str">
        <v/>
      </c>
      <c r="D42" t="str">
        <v/>
      </c>
      <c r="E42" t="str">
        <v/>
      </c>
      <c r="F42" t="str">
        <v/>
      </c>
      <c r="G42" t="str">
        <v>07/01/2025</v>
      </c>
      <c r="H42" s="1">
        <v>345</v>
      </c>
      <c r="I42" t="str">
        <v>CC</v>
      </c>
    </row>
    <row r="43">
      <c r="A43" t="str">
        <v>MG0036 Total</v>
      </c>
      <c r="B43" t="str">
        <v>Many-to-One</v>
      </c>
      <c r="C43" t="str">
        <v/>
      </c>
      <c r="D43" t="str">
        <v/>
      </c>
      <c r="E43" s="1">
        <v>15848.71</v>
      </c>
      <c r="F43" t="str">
        <v/>
      </c>
      <c r="G43" t="str">
        <v/>
      </c>
      <c r="H43" s="1">
        <v>15848.71</v>
      </c>
      <c r="I43" t="str">
        <v/>
      </c>
    </row>
    <row r="44">
      <c r="A44" t="str">
        <v>MG0037</v>
      </c>
      <c r="B44" t="str">
        <v>Exact</v>
      </c>
      <c r="C44" t="str">
        <v>RFMS Account # ****6932</v>
      </c>
      <c r="D44" t="str">
        <v>07/16/2025</v>
      </c>
      <c r="E44" s="1">
        <v>350.17</v>
      </c>
      <c r="F44" t="str">
        <v>NATL DATACARE CRT#8F492C WDL RECORD #71625W1</v>
      </c>
      <c r="G44" t="str">
        <v>07/16/2025</v>
      </c>
      <c r="H44" s="1">
        <v>350.17</v>
      </c>
      <c r="I44" t="str">
        <v>RFMS</v>
      </c>
    </row>
    <row r="45">
      <c r="A45" t="str">
        <v>MG0038</v>
      </c>
      <c r="B45" t="str">
        <v>Exact</v>
      </c>
      <c r="C45" t="str">
        <v>RFMS Account # ****6932</v>
      </c>
      <c r="D45" t="str">
        <v>07/01/2025</v>
      </c>
      <c r="E45" s="1">
        <v>30</v>
      </c>
      <c r="F45" t="str">
        <v>NATL DATACARE CRT#20701 DIRECT DEPOSIT</v>
      </c>
      <c r="G45" t="str">
        <v>07/01/2025</v>
      </c>
      <c r="H45" s="1">
        <v>30</v>
      </c>
      <c r="I45" t="str">
        <v>RFMS</v>
      </c>
    </row>
    <row r="46">
      <c r="A46" t="str">
        <v>MG0039</v>
      </c>
      <c r="B46" t="str">
        <v>Exact</v>
      </c>
      <c r="C46" t="str">
        <v>GOVERNMENT RECEIVABLES XXXXXXXX3831</v>
      </c>
      <c r="D46" t="str">
        <v>07/30/2025</v>
      </c>
      <c r="E46" s="1">
        <v>9954.3</v>
      </c>
      <c r="F46" t="str">
        <v>FIRST COAST SERV HCCLAIMPMT 250730 CCD 105565</v>
      </c>
      <c r="G46" t="str">
        <v>07/29/2025</v>
      </c>
      <c r="H46" s="1">
        <v>9954.3</v>
      </c>
      <c r="I46" t="str">
        <v>MCR</v>
      </c>
    </row>
    <row r="47">
      <c r="A47" t="str">
        <v>MG0040</v>
      </c>
      <c r="B47" t="str">
        <v>Exact</v>
      </c>
      <c r="C47" t="str">
        <v>GOVERNMENT RECEIVABLES XXXXXXXX3831</v>
      </c>
      <c r="D47" t="str">
        <v>07/16/2025</v>
      </c>
      <c r="E47" s="1">
        <v>9001</v>
      </c>
      <c r="F47" t="str">
        <v>FIRST COAST SERV HCCLAIMPMT 250716 CCD 105565</v>
      </c>
      <c r="G47" t="str">
        <v>07/15/2025</v>
      </c>
      <c r="H47" s="1">
        <v>9001</v>
      </c>
      <c r="I47" t="str">
        <v>MCR</v>
      </c>
    </row>
    <row r="48">
      <c r="A48" t="str">
        <v>MG0041</v>
      </c>
      <c r="B48" t="str">
        <v>Exact</v>
      </c>
      <c r="C48" t="str">
        <v>GOVERNMENT RECEIVABLES XXXXXXXX3831</v>
      </c>
      <c r="D48" t="str">
        <v>07/02/2025</v>
      </c>
      <c r="E48" s="1">
        <v>15148.19</v>
      </c>
      <c r="F48" t="str">
        <v>FIRST COAST SERV HCCLAIMPMT 250702 CCD 105565</v>
      </c>
      <c r="G48" t="str">
        <v>07/01/2025</v>
      </c>
      <c r="H48" s="1">
        <v>15148.19</v>
      </c>
      <c r="I48" t="str">
        <v>MCR</v>
      </c>
    </row>
    <row r="49">
      <c r="A49" t="str">
        <v>MG0042</v>
      </c>
      <c r="B49" t="str">
        <v>Exact</v>
      </c>
      <c r="C49" t="str">
        <v>NON-GOVERNMENT RECEIVABLE XXXXXXXX3858</v>
      </c>
      <c r="D49" t="str">
        <v>07/29/2025</v>
      </c>
      <c r="E49" s="1">
        <v>18855.97</v>
      </c>
      <c r="F49" t="str">
        <v>HMP HCCLAIMPMT 250728 CCD</v>
      </c>
      <c r="G49" t="str">
        <v>07/26/2025</v>
      </c>
      <c r="H49" s="1">
        <v>18855.97</v>
      </c>
      <c r="I49" t="str">
        <v>Humana</v>
      </c>
    </row>
    <row r="50">
      <c r="A50" t="str">
        <v>MG0043</v>
      </c>
      <c r="B50" t="str">
        <v>Exact</v>
      </c>
      <c r="C50" t="str">
        <v>NON-GOVERNMENT RECEIVABLE XXXXXXXX3858</v>
      </c>
      <c r="D50" t="str">
        <v>07/28/2025</v>
      </c>
      <c r="E50" s="1">
        <v>677.08</v>
      </c>
      <c r="F50" t="str">
        <v>UHC Community Pl HCCLAIMPMT CCD</v>
      </c>
      <c r="G50" t="str">
        <v>07/24/2025</v>
      </c>
      <c r="H50" s="1">
        <v>677.08</v>
      </c>
      <c r="I50" t="str">
        <v>UHC</v>
      </c>
    </row>
    <row r="51">
      <c r="A51" t="str">
        <v>MG0044</v>
      </c>
      <c r="B51" t="str">
        <v>Exact</v>
      </c>
      <c r="C51" t="str">
        <v>NON-GOVERNMENT RECEIVABLE XXXXXXXX3858</v>
      </c>
      <c r="D51" t="str">
        <v>07/24/2025</v>
      </c>
      <c r="E51" s="1">
        <v>1641</v>
      </c>
      <c r="F51" t="str">
        <v>REMOTE DEPOSIT REF#4335131</v>
      </c>
      <c r="G51" t="str">
        <v>07/24/2025</v>
      </c>
      <c r="H51" s="1">
        <v>1641</v>
      </c>
      <c r="I51" t="str">
        <v>Deposit</v>
      </c>
    </row>
    <row r="52">
      <c r="A52" t="str">
        <v>MG0045</v>
      </c>
      <c r="B52" t="str">
        <v>Exact</v>
      </c>
      <c r="C52" t="str">
        <v>NON-GOVERNMENT RECEIVABLE XXXXXXXX3858</v>
      </c>
      <c r="D52" t="str">
        <v>07/22/2025</v>
      </c>
      <c r="E52" s="1">
        <v>2095</v>
      </c>
      <c r="F52" t="str">
        <v>REMOTE DEPOSIT REF#4335131</v>
      </c>
      <c r="G52" t="str">
        <v>07/22/2025</v>
      </c>
      <c r="H52" s="1">
        <v>2095</v>
      </c>
      <c r="I52" t="str">
        <v>Deposit</v>
      </c>
    </row>
    <row r="53">
      <c r="A53" t="str">
        <v>MG0046</v>
      </c>
      <c r="B53" t="str">
        <v>Exact</v>
      </c>
      <c r="C53" t="str">
        <v>NON-GOVERNMENT RECEIVABLE XXXXXXXX3858</v>
      </c>
      <c r="D53" t="str">
        <v>07/18/2025</v>
      </c>
      <c r="E53" s="1">
        <v>157.99</v>
      </c>
      <c r="F53" t="str">
        <v>UnitedHealthcare HCCLAIMPMT CCD</v>
      </c>
      <c r="G53" t="str">
        <v>07/16/2025</v>
      </c>
      <c r="H53" s="1">
        <v>157.99</v>
      </c>
      <c r="I53" t="str">
        <v>UHC</v>
      </c>
    </row>
    <row r="54">
      <c r="A54" t="str">
        <v>MG0047</v>
      </c>
      <c r="B54" t="str">
        <v>Exact</v>
      </c>
      <c r="C54" t="str">
        <v>NON-GOVERNMENT RECEIVABLE XXXXXXXX3858</v>
      </c>
      <c r="D54" t="str">
        <v>07/15/2025</v>
      </c>
      <c r="E54" s="1">
        <v>4000</v>
      </c>
      <c r="F54" t="str">
        <v>BANKCARD BTOT DEP 250714 CCD</v>
      </c>
      <c r="G54" t="str">
        <v>07/13/2025</v>
      </c>
      <c r="H54" s="1">
        <v>4000</v>
      </c>
      <c r="I54" t="str">
        <v>CC</v>
      </c>
    </row>
    <row r="55">
      <c r="A55" t="str">
        <v>MG0048</v>
      </c>
      <c r="B55" t="str">
        <v>Exact</v>
      </c>
      <c r="C55" t="str">
        <v>NON-GOVERNMENT RECEIVABLE XXXXXXXX3858</v>
      </c>
      <c r="D55" t="str">
        <v>07/14/2025</v>
      </c>
      <c r="E55" s="1">
        <v>9893.06</v>
      </c>
      <c r="F55" t="str">
        <v>UnitedHealthcare HCCLAIMPMT CCD</v>
      </c>
      <c r="G55" t="str">
        <v>07/10/2025</v>
      </c>
      <c r="H55" s="1">
        <v>9893.06</v>
      </c>
      <c r="I55" t="str">
        <v>UHC</v>
      </c>
    </row>
    <row r="56">
      <c r="A56" t="str">
        <v>MG0049</v>
      </c>
      <c r="B56" t="str">
        <v>Exact</v>
      </c>
      <c r="C56" t="str">
        <v>NON-GOVERNMENT RECEIVABLE XXXXXXXX3858</v>
      </c>
      <c r="D56" t="str">
        <v>07/09/2025</v>
      </c>
      <c r="E56" s="1">
        <v>2358.25</v>
      </c>
      <c r="F56" t="str">
        <v>REMOTE DEPOSIT REF#4335131</v>
      </c>
      <c r="G56" t="str">
        <v>07/09/2025</v>
      </c>
      <c r="H56" s="1">
        <v>2358.25</v>
      </c>
      <c r="I56" t="str">
        <v>Deposit</v>
      </c>
    </row>
    <row r="57">
      <c r="A57" t="str">
        <v>MG0050</v>
      </c>
      <c r="B57" t="str">
        <v>Exact</v>
      </c>
      <c r="C57" t="str">
        <v>NON-GOVERNMENT RECEIVABLE XXXXXXXX3858</v>
      </c>
      <c r="D57" t="str">
        <v>07/07/2025</v>
      </c>
      <c r="E57" s="1">
        <v>2700.27</v>
      </c>
      <c r="F57" t="str">
        <v>BANKCARD BTOT DEP 250706 CCD</v>
      </c>
      <c r="G57" t="str">
        <v>07/04/2025</v>
      </c>
      <c r="H57" s="1">
        <v>2700.27</v>
      </c>
      <c r="I57" t="str">
        <v>CC</v>
      </c>
    </row>
    <row r="58">
      <c r="A58" t="str">
        <v>MG0051</v>
      </c>
      <c r="B58" t="str">
        <v>Exact</v>
      </c>
      <c r="C58" t="str">
        <v>NON-GOVERNMENT RECEIVABLE XXXXXXXX3858</v>
      </c>
      <c r="D58" t="str">
        <v>07/02/2025</v>
      </c>
      <c r="E58" s="1">
        <v>7056.9</v>
      </c>
      <c r="F58" t="str">
        <v>UHC Community Pl HCCLAIMPMT CCD</v>
      </c>
      <c r="G58" t="str">
        <v>07/01/2025</v>
      </c>
      <c r="H58" s="1">
        <v>7056.9</v>
      </c>
      <c r="I58" t="str">
        <v>UHC</v>
      </c>
    </row>
    <row r="59">
      <c r="A59" t="str">
        <v>MG0052</v>
      </c>
      <c r="B59" t="str">
        <v>Exact</v>
      </c>
      <c r="C59" t="str">
        <v>NON-GOVERNMENT RECEIVABLE XXXXXXXX3858</v>
      </c>
      <c r="D59" t="str">
        <v>07/02/2025</v>
      </c>
      <c r="E59" s="1">
        <v>25715.2</v>
      </c>
      <c r="F59" t="str">
        <v>Sunshine State H HCCLAIMPMT 250701 CCD</v>
      </c>
      <c r="G59" t="str">
        <v>07/01/2025</v>
      </c>
      <c r="H59" s="1">
        <v>25715.2</v>
      </c>
      <c r="I59" t="str">
        <v>Sunshine</v>
      </c>
    </row>
    <row r="60">
      <c r="A60" t="str">
        <v>MG0053</v>
      </c>
      <c r="B60" t="str">
        <v>Exact</v>
      </c>
      <c r="C60" t="str">
        <v>GOVERNMENT RECEIVABLES XXXXXXXX3831</v>
      </c>
      <c r="D60" t="str">
        <v>07/08/2025</v>
      </c>
      <c r="E60" s="1">
        <v>1961.37</v>
      </c>
      <c r="F60" t="str">
        <v>ACH MEDICAID HCCLAIMPMT 250627 CCD</v>
      </c>
      <c r="G60" t="str">
        <v>07/02/2025</v>
      </c>
      <c r="H60" s="1">
        <v>1961.37</v>
      </c>
      <c r="I60" t="str">
        <v>MCD</v>
      </c>
    </row>
    <row r="61">
      <c r="A61" t="str">
        <v>MG0054</v>
      </c>
      <c r="B61" t="str">
        <v>Exact</v>
      </c>
      <c r="C61" t="str">
        <v>RFMS Account # ****6932</v>
      </c>
      <c r="D61" t="str">
        <v>07/09/2025</v>
      </c>
      <c r="E61" s="1">
        <v>1618.6</v>
      </c>
      <c r="F61" t="str">
        <v>NATL DATACARE CRT#20709 DIRECT DEPOSIT</v>
      </c>
      <c r="G61" t="str">
        <v>07/09/2025</v>
      </c>
      <c r="H61" s="1">
        <v>1618.6</v>
      </c>
      <c r="I61" t="str">
        <v>RFMS</v>
      </c>
    </row>
    <row r="62">
      <c r="A62" t="str">
        <v>MG0055</v>
      </c>
      <c r="B62" t="str">
        <v>Exact</v>
      </c>
      <c r="C62" t="str">
        <v>MONOGRAM CHECKING 1503764063</v>
      </c>
      <c r="D62" t="str">
        <v>07/21/2025</v>
      </c>
      <c r="E62" s="1">
        <v>40.52</v>
      </c>
      <c r="F62" t="str">
        <v>ACH DEPOSIT HUMANA INC US LE HCCLAIMPMT COASTAL CENTER OPERATI</v>
      </c>
      <c r="G62" t="str">
        <v>07/19/2025</v>
      </c>
      <c r="H62" s="1">
        <v>40.52</v>
      </c>
      <c r="I62" t="str">
        <v>Careplus</v>
      </c>
    </row>
    <row r="63">
      <c r="A63" t="str">
        <v>MG0056</v>
      </c>
      <c r="B63" t="str">
        <v>Exact</v>
      </c>
      <c r="C63" t="str">
        <v>GOVERNMENT RECEIVABLES XXXXXXXX3831</v>
      </c>
      <c r="D63" t="str">
        <v>07/24/2025</v>
      </c>
      <c r="E63" s="1">
        <v>117.22</v>
      </c>
      <c r="F63" t="str">
        <v>FIRST COAST SERV HCCLAIMPMT 250724 CCD 105565</v>
      </c>
      <c r="G63" t="str">
        <v>07/23/2025</v>
      </c>
      <c r="H63" s="1">
        <v>117.22</v>
      </c>
      <c r="I63" t="str">
        <v>MCR</v>
      </c>
    </row>
    <row r="64">
      <c r="A64" t="str">
        <v>MG0057</v>
      </c>
      <c r="B64" t="str">
        <v>Exact</v>
      </c>
      <c r="C64" t="str">
        <v>GOVERNMENT RECEIVABLES XXXXXXXX3831</v>
      </c>
      <c r="D64" t="str">
        <v>07/15/2025</v>
      </c>
      <c r="E64" s="1">
        <v>12163.67</v>
      </c>
      <c r="F64" t="str">
        <v>FIRST COAST SERV HCCLAIMPMT 250715 CCD 105565</v>
      </c>
      <c r="G64" t="str">
        <v>07/14/2025</v>
      </c>
      <c r="H64" s="1">
        <v>12163.67</v>
      </c>
      <c r="I64" t="str">
        <v>MCR</v>
      </c>
    </row>
    <row r="65">
      <c r="A65" t="str">
        <v>MG0058</v>
      </c>
      <c r="B65" t="str">
        <v>Exact</v>
      </c>
      <c r="C65" t="str">
        <v>NON-GOVERNMENT RECEIVABLE XXXXXXXX3858</v>
      </c>
      <c r="D65" t="str">
        <v>07/31/2025</v>
      </c>
      <c r="E65" s="1">
        <v>10120</v>
      </c>
      <c r="F65" t="str">
        <v>UnitedHealthcare HCCLAIMPMT CCD</v>
      </c>
      <c r="G65" t="str">
        <v>07/31/2025</v>
      </c>
      <c r="H65" s="1">
        <v>10120</v>
      </c>
      <c r="I65" t="str">
        <v>UHC</v>
      </c>
    </row>
    <row r="66">
      <c r="A66" t="str">
        <v>MG0059</v>
      </c>
      <c r="B66" t="str">
        <v>Exact</v>
      </c>
      <c r="C66" t="str">
        <v>NON-GOVERNMENT RECEIVABLE XXXXXXXX3858</v>
      </c>
      <c r="D66" t="str">
        <v>07/29/2025</v>
      </c>
      <c r="E66" s="1">
        <v>87765.53</v>
      </c>
      <c r="F66" t="str">
        <v>HMP HCCLAIMPMT 250728 CCD</v>
      </c>
      <c r="G66" t="str">
        <v>07/25/2025</v>
      </c>
      <c r="H66" s="1">
        <v>87765.53</v>
      </c>
      <c r="I66" t="str">
        <v>Humana</v>
      </c>
    </row>
    <row r="67">
      <c r="A67" t="str">
        <v>MG0060</v>
      </c>
      <c r="B67" t="str">
        <v>Exact</v>
      </c>
      <c r="C67" t="str">
        <v>NON-GOVERNMENT RECEIVABLE XXXXXXXX3858</v>
      </c>
      <c r="D67" t="str">
        <v>07/28/2025</v>
      </c>
      <c r="E67" s="1">
        <v>6.71</v>
      </c>
      <c r="F67" t="str">
        <v>UnitedHealthcare HCCLAIMPMT CCD</v>
      </c>
      <c r="G67" t="str">
        <v>07/24/2025</v>
      </c>
      <c r="H67" s="1">
        <v>6.71</v>
      </c>
      <c r="I67" t="str">
        <v>UHC</v>
      </c>
    </row>
    <row r="68">
      <c r="A68" t="str">
        <v>MG0061</v>
      </c>
      <c r="B68" t="str">
        <v>Exact</v>
      </c>
      <c r="C68" t="str">
        <v>NON-GOVERNMENT RECEIVABLE XXXXXXXX3858</v>
      </c>
      <c r="D68" t="str">
        <v>07/23/2025</v>
      </c>
      <c r="E68" s="1">
        <v>26.85</v>
      </c>
      <c r="F68" t="str">
        <v>UnitedHealthcare HCCLAIMPMT CCD</v>
      </c>
      <c r="G68" t="str">
        <v>07/19/2025</v>
      </c>
      <c r="H68" s="1">
        <v>26.85</v>
      </c>
      <c r="I68" t="str">
        <v>UHC</v>
      </c>
    </row>
    <row r="69">
      <c r="A69" t="str">
        <v>MG0062</v>
      </c>
      <c r="B69" t="str">
        <v>Exact</v>
      </c>
      <c r="C69" t="str">
        <v>NON-GOVERNMENT RECEIVABLE XXXXXXXX3858</v>
      </c>
      <c r="D69" t="str">
        <v>07/21/2025</v>
      </c>
      <c r="E69" s="1">
        <v>2482.82</v>
      </c>
      <c r="F69" t="str">
        <v>Optum VA CCN Reg HCCLAIMPMT CCD</v>
      </c>
      <c r="G69" t="str">
        <v>07/21/2025</v>
      </c>
      <c r="H69" s="1">
        <v>2482.82</v>
      </c>
      <c r="I69" t="str">
        <v>Optum</v>
      </c>
    </row>
    <row r="70">
      <c r="A70" t="str">
        <v>MG0063</v>
      </c>
      <c r="B70" t="str">
        <v>Exact</v>
      </c>
      <c r="C70" t="str">
        <v>NON-GOVERNMENT RECEIVABLE XXXXXXXX3858</v>
      </c>
      <c r="D70" t="str">
        <v>07/18/2025</v>
      </c>
      <c r="E70" s="1">
        <v>9629.42</v>
      </c>
      <c r="F70" t="str">
        <v>REMOTE DEPOSIT REF#4335131</v>
      </c>
      <c r="G70" t="str">
        <v>07/18/2025</v>
      </c>
      <c r="H70" s="1">
        <v>9629.42</v>
      </c>
      <c r="I70" t="str">
        <v>Deposit</v>
      </c>
    </row>
    <row r="71">
      <c r="A71" t="str">
        <v>MG0064</v>
      </c>
      <c r="B71" t="str">
        <v>Exact</v>
      </c>
      <c r="C71" t="str">
        <v>NON-GOVERNMENT RECEIVABLE XXXXXXXX3858</v>
      </c>
      <c r="D71" t="str">
        <v>07/15/2025</v>
      </c>
      <c r="E71" s="1">
        <v>4244.43</v>
      </c>
      <c r="F71" t="str">
        <v>UHC Community Pl HCCLAIMPMT CCD</v>
      </c>
      <c r="G71" t="str">
        <v>07/11/2025</v>
      </c>
      <c r="H71" s="1">
        <v>4244.43</v>
      </c>
      <c r="I71" t="str">
        <v>UHC</v>
      </c>
    </row>
    <row r="72">
      <c r="A72" t="str">
        <v>MG0065</v>
      </c>
      <c r="B72" t="str">
        <v>Exact</v>
      </c>
      <c r="C72" t="str">
        <v>NON-GOVERNMENT RECEIVABLE XXXXXXXX3858</v>
      </c>
      <c r="D72" t="str">
        <v>07/14/2025</v>
      </c>
      <c r="E72" s="1">
        <v>19096.71</v>
      </c>
      <c r="F72" t="str">
        <v>REMOTE DEPOSIT REF#4335131</v>
      </c>
      <c r="G72" t="str">
        <v>07/14/2025</v>
      </c>
      <c r="H72" s="1">
        <v>19096.71</v>
      </c>
      <c r="I72" t="str">
        <v>Deposit</v>
      </c>
    </row>
    <row r="73">
      <c r="A73" t="str">
        <v>MG0066</v>
      </c>
      <c r="B73" t="str">
        <v>Exact</v>
      </c>
      <c r="C73" t="str">
        <v>NON-GOVERNMENT RECEIVABLE XXXXXXXX3858</v>
      </c>
      <c r="D73" t="str">
        <v>07/08/2025</v>
      </c>
      <c r="E73" s="1">
        <v>19833.45</v>
      </c>
      <c r="F73" t="str">
        <v>REMOTE DEPOSIT REF#4335131</v>
      </c>
      <c r="G73" t="str">
        <v>07/08/2025</v>
      </c>
      <c r="H73" s="1">
        <v>19833.45</v>
      </c>
      <c r="I73" t="str">
        <v>Deposit</v>
      </c>
    </row>
    <row r="74">
      <c r="A74" t="str">
        <v>MG0067</v>
      </c>
      <c r="B74" t="str">
        <v>Exact</v>
      </c>
      <c r="C74" t="str">
        <v>NON-GOVERNMENT RECEIVABLE XXXXXXXX3858</v>
      </c>
      <c r="D74" t="str">
        <v>07/03/2025</v>
      </c>
      <c r="E74" s="1">
        <v>5280</v>
      </c>
      <c r="F74" t="str">
        <v>UnitedHealthcare HCCLAIMPMT CCD</v>
      </c>
      <c r="G74" t="str">
        <v>07/03/2025</v>
      </c>
      <c r="H74" s="1">
        <v>5280</v>
      </c>
      <c r="I74" t="str">
        <v>UHC</v>
      </c>
    </row>
    <row r="75">
      <c r="A75" t="str">
        <v>MG0068</v>
      </c>
      <c r="B75" t="str">
        <v>Exact</v>
      </c>
      <c r="C75" t="str">
        <v>NON-GOVERNMENT RECEIVABLE XXXXXXXX3858</v>
      </c>
      <c r="D75" t="str">
        <v>07/02/2025</v>
      </c>
      <c r="E75" s="1">
        <v>1639.05</v>
      </c>
      <c r="F75" t="str">
        <v>UnitedHealthcare HCCLAIMPMT CCD</v>
      </c>
      <c r="G75" t="str">
        <v>07/01/2025</v>
      </c>
      <c r="H75" s="1">
        <v>1639.05</v>
      </c>
      <c r="I75" t="str">
        <v>UHC</v>
      </c>
    </row>
    <row r="76">
      <c r="A76" t="str">
        <v>MG0069</v>
      </c>
      <c r="B76" t="str">
        <v>Exact</v>
      </c>
      <c r="C76" t="str">
        <v>NON-GOVERNMENT RECEIVABLE XXXXXXXX3858</v>
      </c>
      <c r="D76" t="str">
        <v>07/02/2025</v>
      </c>
      <c r="E76" s="1">
        <v>2304.5</v>
      </c>
      <c r="F76" t="str">
        <v>REMOTE DEPOSIT REF#4335131</v>
      </c>
      <c r="G76" t="str">
        <v>07/02/2025</v>
      </c>
      <c r="H76" s="1">
        <v>2304.5</v>
      </c>
      <c r="I76" t="str">
        <v>Deposit</v>
      </c>
    </row>
    <row r="77">
      <c r="A77" t="str">
        <v>MG0070</v>
      </c>
      <c r="B77" t="str">
        <v>Many-to-One</v>
      </c>
      <c r="C77" t="str">
        <v>NON-GOVERNMENT RECEIVABLE XXXXXXXX3858</v>
      </c>
      <c r="D77" t="str">
        <v>07/21/2025</v>
      </c>
      <c r="E77" s="1">
        <v>48320.58</v>
      </c>
      <c r="F77" t="str">
        <v>BANKCARD BTOT DEP 250720 CCD</v>
      </c>
      <c r="G77" t="str">
        <v>07/17/2025</v>
      </c>
      <c r="H77" s="1">
        <v>14147.18</v>
      </c>
      <c r="I77" t="str">
        <v>Hospice</v>
      </c>
    </row>
    <row r="78">
      <c r="A78" t="str">
        <v>MG0070</v>
      </c>
      <c r="B78" t="str">
        <v>Many-to-One</v>
      </c>
      <c r="C78" t="str">
        <v/>
      </c>
      <c r="D78" t="str">
        <v/>
      </c>
      <c r="E78" t="str">
        <v/>
      </c>
      <c r="F78" t="str">
        <v/>
      </c>
      <c r="G78" t="str">
        <v>07/18/2025</v>
      </c>
      <c r="H78" s="1">
        <v>7894.75</v>
      </c>
      <c r="I78" t="str">
        <v>Hospice</v>
      </c>
    </row>
    <row r="79">
      <c r="A79" t="str">
        <v>MG0070</v>
      </c>
      <c r="B79" t="str">
        <v>Many-to-One</v>
      </c>
      <c r="C79" t="str">
        <v/>
      </c>
      <c r="D79" t="str">
        <v/>
      </c>
      <c r="E79" t="str">
        <v/>
      </c>
      <c r="F79" t="str">
        <v/>
      </c>
      <c r="G79" t="str">
        <v>07/18/2025</v>
      </c>
      <c r="H79" s="1">
        <v>26278.65</v>
      </c>
      <c r="I79" t="str">
        <v>CC</v>
      </c>
    </row>
    <row r="80">
      <c r="A80" t="str">
        <v>MG0070 Total</v>
      </c>
      <c r="B80" t="str">
        <v>Many-to-One</v>
      </c>
      <c r="C80" t="str">
        <v/>
      </c>
      <c r="D80" t="str">
        <v/>
      </c>
      <c r="E80" s="1">
        <v>48320.58</v>
      </c>
      <c r="F80" t="str">
        <v/>
      </c>
      <c r="G80" t="str">
        <v/>
      </c>
      <c r="H80" s="1">
        <v>48320.58</v>
      </c>
      <c r="I80" t="str">
        <v/>
      </c>
    </row>
  </sheetData>
  <ignoredErrors>
    <ignoredError numberStoredAsText="1" sqref="A1:I8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Type</v>
      </c>
      <c r="B1" t="str">
        <v>Date</v>
      </c>
      <c r="C1" t="str">
        <v>Amount</v>
      </c>
      <c r="D1" t="str">
        <v>Description</v>
      </c>
      <c r="E1" t="str">
        <v>Exception Reason</v>
      </c>
    </row>
    <row r="2">
      <c r="A2" t="str">
        <v>Unmatched</v>
      </c>
      <c r="B2" t="str">
        <v>07/14/2025</v>
      </c>
      <c r="C2" s="1">
        <v>-359.69</v>
      </c>
      <c r="D2" t="str">
        <v>Sunshine Really$0.00</v>
      </c>
      <c r="E2" t="str">
        <v/>
      </c>
    </row>
    <row r="3">
      <c r="A3" t="str">
        <v>Unmatched</v>
      </c>
      <c r="B3" t="str">
        <v>07/28/2025</v>
      </c>
      <c r="C3" s="1">
        <v>1771.9</v>
      </c>
      <c r="D3" t="str">
        <v>CC</v>
      </c>
      <c r="E3" t="str">
        <v/>
      </c>
    </row>
    <row r="4">
      <c r="A4" t="str">
        <v>Unmatched</v>
      </c>
      <c r="B4" t="str">
        <v>07/28/2025</v>
      </c>
      <c r="C4" s="1">
        <v>27078</v>
      </c>
      <c r="D4" t="str">
        <v>CC</v>
      </c>
      <c r="E4" t="str">
        <v/>
      </c>
    </row>
    <row r="5">
      <c r="A5" t="str">
        <v>Unmatched</v>
      </c>
      <c r="B5" t="str">
        <v>07/30/2025</v>
      </c>
      <c r="C5" s="1">
        <v>226.16</v>
      </c>
      <c r="D5" t="str">
        <v>CC</v>
      </c>
      <c r="E5" t="str">
        <v/>
      </c>
    </row>
    <row r="6">
      <c r="A6" t="str">
        <v>Unmatched</v>
      </c>
      <c r="B6" t="str">
        <v>07/30/2025</v>
      </c>
      <c r="C6" s="1">
        <v>15300.56</v>
      </c>
      <c r="D6" t="str">
        <v>UHC</v>
      </c>
      <c r="E6" t="str">
        <v/>
      </c>
    </row>
    <row r="7">
      <c r="A7" t="str">
        <v>Unmatched</v>
      </c>
      <c r="B7" t="str">
        <v>07/31/2025</v>
      </c>
      <c r="C7" s="1">
        <v>76407.62</v>
      </c>
      <c r="D7" t="str">
        <v>UHC</v>
      </c>
      <c r="E7" t="str">
        <v/>
      </c>
    </row>
  </sheetData>
  <ignoredErrors>
    <ignoredError numberStoredAsText="1" sqref="A1:E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Type</v>
      </c>
      <c r="B1" t="str">
        <v>Bank Account</v>
      </c>
      <c r="C1" t="str">
        <v>Date</v>
      </c>
      <c r="D1" t="str">
        <v>Amount</v>
      </c>
      <c r="E1" t="str">
        <v>Description</v>
      </c>
      <c r="F1" t="str">
        <v>Exception Reason</v>
      </c>
    </row>
    <row r="2">
      <c r="A2" t="str">
        <v>Unmatched</v>
      </c>
      <c r="B2" t="str">
        <v>GOVERNMENT RECEIVABLES XXXXXXXX3831</v>
      </c>
      <c r="C2" t="str">
        <v>07/01/2025</v>
      </c>
      <c r="D2" s="1">
        <v>26.31</v>
      </c>
      <c r="E2" t="str">
        <v>FIRST COAST SERV HCCLAIMPMT 250701 CCD 105565</v>
      </c>
      <c r="F2" t="str">
        <v/>
      </c>
    </row>
    <row r="3">
      <c r="A3" t="str">
        <v>Unmatched</v>
      </c>
      <c r="B3" t="str">
        <v>MONOGRAM CHECKING 1503764063</v>
      </c>
      <c r="C3" t="str">
        <v>07/28/2025</v>
      </c>
      <c r="D3" s="1">
        <v>7181.53</v>
      </c>
      <c r="E3" t="str">
        <v>ACH DEPOSIT ILUMED LLC HCCLAIMPMT COASTAL CENTER OPERATI</v>
      </c>
      <c r="F3" t="str">
        <v/>
      </c>
    </row>
    <row r="4">
      <c r="A4" t="str">
        <v>Unmatched</v>
      </c>
      <c r="B4" t="str">
        <v>NON-GOVERNMENT RECEIVABLE XXXXXXXX3858</v>
      </c>
      <c r="C4" t="str">
        <v>07/23/2025</v>
      </c>
      <c r="D4" s="1">
        <v>18209.25</v>
      </c>
      <c r="E4" t="str">
        <v>REMOTE DEPOSIT REF#4335131</v>
      </c>
      <c r="F4" t="str">
        <v/>
      </c>
    </row>
    <row r="5">
      <c r="A5" t="str">
        <v>Unmatched</v>
      </c>
      <c r="B5" t="str">
        <v>NON-GOVERNMENT RECEIVABLE XXXXXXXX3858</v>
      </c>
      <c r="C5" t="str">
        <v>07/30/2025</v>
      </c>
      <c r="D5" s="1">
        <v>56168.68</v>
      </c>
      <c r="E5" t="str">
        <v>Sunshine State H HCCLAIMPMT 250729 CCD</v>
      </c>
      <c r="F5" t="str">
        <v/>
      </c>
    </row>
    <row r="6">
      <c r="A6" t="str">
        <v>Unmatched</v>
      </c>
      <c r="B6" t="str">
        <v>NON-GOVERNMENT RECEIVABLE XXXXXXXX3858</v>
      </c>
      <c r="C6" t="str">
        <v>07/30/2025</v>
      </c>
      <c r="D6" s="1">
        <v>30764.9</v>
      </c>
      <c r="E6" t="str">
        <v>BANKCARD BTOT DEP 250729 CCD</v>
      </c>
      <c r="F6" t="str">
        <v/>
      </c>
    </row>
    <row r="7">
      <c r="A7" t="str">
        <v>Unmatched</v>
      </c>
      <c r="B7" t="str">
        <v>NON-GOVERNMENT RECEIVABLE XXXXXXXX3858</v>
      </c>
      <c r="C7" t="str">
        <v>07/31/2025</v>
      </c>
      <c r="D7" s="1">
        <v>14087</v>
      </c>
      <c r="E7" t="str">
        <v>REMOTE DEPOSIT REF#4335131</v>
      </c>
      <c r="F7" t="str">
        <v/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Date</v>
      </c>
      <c r="B1" t="str">
        <v>Amount</v>
      </c>
      <c r="C1" t="str">
        <v>Description</v>
      </c>
    </row>
  </sheetData>
  <ignoredErrors>
    <ignoredError numberStoredAsText="1" sqref="A1:C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Date</v>
      </c>
      <c r="B1" t="str">
        <v>Amount</v>
      </c>
      <c r="C1" t="str">
        <v>Description</v>
      </c>
    </row>
  </sheetData>
  <ignoredErrors>
    <ignoredError numberStoredAsText="1" sqref="A1:C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Date</v>
      </c>
      <c r="B1" t="str">
        <v>Bank Account</v>
      </c>
      <c r="C1" t="str">
        <v>Amount</v>
      </c>
      <c r="D1" t="str">
        <v>Description</v>
      </c>
    </row>
    <row r="2">
      <c r="A2" t="str">
        <v>07/25/2025</v>
      </c>
      <c r="B2" t="str">
        <v>MONOGRAM CHECKING 1504225212</v>
      </c>
      <c r="C2" s="1">
        <v>15.01</v>
      </c>
      <c r="D2" t="str">
        <v>ONLINE TRANSFER CREDIT ONLINE XFR FROM: XXXXXX4314</v>
      </c>
    </row>
    <row r="3">
      <c r="A3" t="str">
        <v>07/02/2025</v>
      </c>
      <c r="B3" t="str">
        <v>NON-GOVERNMENT RECEIVABLE XXXXXXXX3858</v>
      </c>
      <c r="C3" s="1">
        <v>0.5</v>
      </c>
      <c r="D3" t="str">
        <v>TRANSFER FROM 03-</v>
      </c>
    </row>
    <row r="4">
      <c r="A4" t="str">
        <v>07/21/2025</v>
      </c>
      <c r="B4" t="str">
        <v>NON-GOVERNMENT RECEIVABLE XXXXXXXX3858</v>
      </c>
      <c r="C4" s="1">
        <v>0.42</v>
      </c>
      <c r="D4" t="str">
        <v>TRANSFER FROM 03-</v>
      </c>
    </row>
  </sheetData>
  <ignoredErrors>
    <ignoredError numberStoredAsText="1" sqref="A1:D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Date</v>
      </c>
      <c r="B1" t="str">
        <v>Bank Account</v>
      </c>
      <c r="C1" t="str">
        <v>Amount</v>
      </c>
      <c r="D1" t="str">
        <v>Description</v>
      </c>
    </row>
    <row r="2">
      <c r="A2" t="str">
        <v>07/02/2025</v>
      </c>
      <c r="B2" t="str">
        <v>MONOGRAM CHECKING 1503764063</v>
      </c>
      <c r="C2" s="1">
        <v>30</v>
      </c>
      <c r="D2" t="str">
        <v>ACH DEPOSIT NDC SWEEP FAC B661</v>
      </c>
    </row>
    <row r="3">
      <c r="A3" t="str">
        <v>07/07/2025</v>
      </c>
      <c r="B3" t="str">
        <v>MONOGRAM CHECKING 1503764063</v>
      </c>
      <c r="C3" s="1">
        <v>23145</v>
      </c>
      <c r="D3" t="str">
        <v>ACH DEPOSIT NDC SWEEP FAC B661</v>
      </c>
    </row>
    <row r="4">
      <c r="A4" t="str">
        <v>07/09/2025</v>
      </c>
      <c r="B4" t="str">
        <v>MONOGRAM CHECKING 1503764063</v>
      </c>
      <c r="C4" s="1">
        <v>1051</v>
      </c>
      <c r="D4" t="str">
        <v>ACH DEPOSIT NDC SWEEP FAC B661</v>
      </c>
    </row>
    <row r="5">
      <c r="A5" t="str">
        <v>07/10/2025</v>
      </c>
      <c r="B5" t="str">
        <v>MONOGRAM CHECKING 1503764063</v>
      </c>
      <c r="C5" s="1">
        <v>1618.6</v>
      </c>
      <c r="D5" t="str">
        <v>ACH DEPOSIT NDC SWEEP FAC B661</v>
      </c>
    </row>
    <row r="6">
      <c r="A6" t="str">
        <v>07/17/2025</v>
      </c>
      <c r="B6" t="str">
        <v>MONOGRAM CHECKING 1503764063</v>
      </c>
      <c r="C6" s="1">
        <v>350.17</v>
      </c>
      <c r="D6" t="str">
        <v>ACH DEPOSIT NDC SWEEP FAC B661</v>
      </c>
    </row>
    <row r="7">
      <c r="A7" t="str">
        <v>07/24/2025</v>
      </c>
      <c r="B7" t="str">
        <v>MONOGRAM CHECKING 1503764063</v>
      </c>
      <c r="C7" s="1">
        <v>189.3</v>
      </c>
      <c r="D7" t="str">
        <v>ACH DEPOSIT NDC SWEEP FAC B661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Bank</vt:lpstr>
      <vt:lpstr>RFMS</vt:lpstr>
      <vt:lpstr>Billing</vt:lpstr>
      <vt:lpstr>Matched</vt:lpstr>
      <vt:lpstr>Unmatched Billing</vt:lpstr>
      <vt:lpstr>Unmatched Bank</vt:lpstr>
      <vt:lpstr>NSF</vt:lpstr>
      <vt:lpstr>Reversals</vt:lpstr>
      <vt:lpstr>Transfers</vt:lpstr>
      <vt:lpstr>NDC Sweeps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